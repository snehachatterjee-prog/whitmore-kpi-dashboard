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Assumptions" sheetId="1" state="visible" r:id="rId3"/>
    <sheet name="KPI_Summary" sheetId="2" state="visible" r:id="rId4"/>
    <sheet name="Loan_Book" sheetId="3" state="visible" r:id="rId5"/>
    <sheet name="Debt_Facilities" sheetId="4" state="visible" r:id="rId6"/>
    <sheet name="IRS" sheetId="5" state="visible" r:id="rId7"/>
    <sheet name="CDS" sheetId="6" state="visible" r:id="rId8"/>
    <sheet name="FX_Forwards" sheetId="7" state="visible" r:id="rId9"/>
    <sheet name="Options" sheetId="8" state="visible" r:id="rId10"/>
    <sheet name="Leases" sheetId="9" state="visible" r:id="rId11"/>
    <sheet name="Cash_Recon" sheetId="10" state="visible" r:id="rId12"/>
    <sheet name="Concentration_Test" sheetId="11" state="visible" r:id="rId13"/>
    <sheet name="LP_Capita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9" authorId="0">
      <text>
        <r>
          <rPr>
            <sz val="10"/>
            <rFont val="Arial"/>
            <family val="2"/>
          </rPr>
          <t xml:space="preserve">Subtracts the $1,250,000 duplicate IRS entry excluded per Assumption A1 (it is included in the raw SUM(D:D) above since the ledger row is retained for transparency).</t>
        </r>
      </text>
    </comment>
  </commentList>
</comments>
</file>

<file path=xl/sharedStrings.xml><?xml version="1.0" encoding="utf-8"?>
<sst xmlns="http://schemas.openxmlformats.org/spreadsheetml/2006/main" count="886" uniqueCount="705">
  <si>
    <t xml:space="preserve">Whitmore Structured Credit Opportunities Fund II, L.P.</t>
  </si>
  <si>
    <t xml:space="preserve">Structured Debt &amp; Derivatives Sleeve — KPI Workings  |  Prepared for Analytics &amp; Investment Ops Working Group  |  Period: FY2025 / as of 31-Dec-2025</t>
  </si>
  <si>
    <t xml:space="preserve">Purpose</t>
  </si>
  <si>
    <t xml:space="preserve">This workbook supports the four KPI questions in the GP memo (01_Fund_Overview_Memo): (1) net yield to the sleeve, before/after leverage cost; (2) whether the hedges are actually hedging; (3) counterparty concentration; (4) recognition vs. cash timing gaps.</t>
  </si>
  <si>
    <t xml:space="preserve">How to use</t>
  </si>
  <si>
    <t xml:space="preserve">Each tab reproduces the source data (blue = input, taken from the case files) and builds the KPI in black formulas. Where the source documents were silent, ambiguous, or contradictory, the assumption made is logged below AND repeated as a cell comment on the tab where it's used.</t>
  </si>
  <si>
    <t xml:space="preserve">ASSUMPTIONS LOG — EVERY JUDGMENT CALL USED IN THIS WORKBOOK</t>
  </si>
  <si>
    <t xml:space="preserve">#</t>
  </si>
  <si>
    <t xml:space="preserve">Open Item</t>
  </si>
  <si>
    <t xml:space="preserve">Assumption Made / Treatment Chosen</t>
  </si>
  <si>
    <t xml:space="preserve">Basis / Source</t>
  </si>
  <si>
    <t xml:space="preserve">Tab(s) Affected</t>
  </si>
  <si>
    <t xml:space="preserve">A1</t>
  </si>
  <si>
    <t xml:space="preserve">IRS cash ledger shows two same-day “SWAP_NET” entries (+$1,250,000 and −$1,725,000), flagged by ops as likely one erroneous duplicate.</t>
  </si>
  <si>
    <t xml:space="preserve">Treat −$1,725,000 (fund net-pays) as the true Q3 settlement, since the swap's YE fair value to the fund is negative (fund is out-of-the-money, paying more fixed than it receives floating). The +$1,250,000 entry is excluded from cash-flow KPIs as a duplicate/reversal, but left visible in the recon tab.</t>
  </si>
  <si>
    <t xml:space="preserve">07_IRS confirm YE mark -$3.84M to Fund; 12_Cash_Ledger flags “CHECK” itself.</t>
  </si>
  <si>
    <t xml:space="preserve">IRS, Cash_Recon, KPI_Summary</t>
  </si>
  <si>
    <t xml:space="preserve">A2</t>
  </si>
  <si>
    <t xml:space="preserve">CDS-0011 (Orion) settlement direction contested between the confirm's plain reading, a reciprocal confirm on file, and the broker statement.</t>
  </si>
  <si>
    <t xml:space="preserve">Fund is Protection Buyer (Fixed Rate Payer). USD 14,437,500 auction settlement is a RECEIPT to the fund.</t>
  </si>
  <si>
    <t xml:space="preserve">PM notes (11) give explicit trade rationale + evidence (fund has been paying, not receiving, the 100bp premium quarterly — see SWAP_PREM_OUT in cash ledger); cash ledger already booked it as a receipt.</t>
  </si>
  <si>
    <t xml:space="preserve">CDS, Cash_Recon, Concentration_Test, KPI_Summary</t>
  </si>
  <si>
    <t xml:space="preserve">A3</t>
  </si>
  <si>
    <t xml:space="preserve">GBP forward (WTM-FX-0044) confirm has the Fund BUYING GBP, which PM notes flag as the wrong direction to hedge a GBP loan RECEIPT (should be selling GBP forward).</t>
  </si>
  <si>
    <t xml:space="preserve">Model the hedge as-executed (Fund long GBP forward), per PM's explicit instruction to assume “the confirm is what got done.” Hedge effectiveness is therefore computed as NEGATIVE / non-offsetting, not corrected to what should have happened.</t>
  </si>
  <si>
    <t xml:space="preserve">PM Trading Notes (11), FX section, final instruction.</t>
  </si>
  <si>
    <t xml:space="preserve">FX_Forwards, KPI_Summary</t>
  </si>
  <si>
    <t xml:space="preserve">A4</t>
  </si>
  <si>
    <t xml:space="preserve">Content library lease (Longwood, $450k/qtr): Fund Accounting nets it against sub-licence royalty revenue in the Entertainment sleeve; Portfolio treats it as an investment cost of THIS (credit/derivatives) sleeve.</t>
  </si>
  <si>
    <t xml:space="preserve">For this sleeve's KPI purposes, adopt the PM/Portfolio view: treat the lease payment as an investment cost of the capital-light structure and pull the associated sub-licence royalty income into this sleeve's yield calc alongside it (both legs shown together, netted).</t>
  </si>
  <si>
    <t xml:space="preserve">01_Fund_Overview §3(f); 11_PM_Trading_Notes “Leased Content Library”; 14_Lease_Registry note 2.</t>
  </si>
  <si>
    <t xml:space="preserve">Leases, KPI_Summary</t>
  </si>
  <si>
    <t xml:space="preserve">A5</t>
  </si>
  <si>
    <t xml:space="preserve">Orion mezzanine (WTM-L-0002, $25.0mm face) carrying value for concentration/exposure purposes post-restructuring.</t>
  </si>
  <si>
    <t xml:space="preserve">Mark at CDS auction-implied recovery (42.25% of face = $10,562,500) from the 30-Sep-2025 RSA effective date, consistent with Corporate Actions Notice 1's instruction to reconcile any writedown with the CDS auction result.</t>
  </si>
  <si>
    <t xml:space="preserve">16_Corporate_Actions Notice 1, item 6; Notice 5 concentration scenarios.</t>
  </si>
  <si>
    <t xml:space="preserve">Loan_Book, Concentration_Test</t>
  </si>
  <si>
    <t xml:space="preserve">A6</t>
  </si>
  <si>
    <t xml:space="preserve">JPY forward (WTM-FX-0045) sized to the ORIGINAL loan notional (JPY 2,400,000,000); loan notional reset in Nov-2025 to JPY 2,737,800,000 per the loan's annual USD-linked reset mechanism.</t>
  </si>
  <si>
    <t xml:space="preserve">Treat the hedge as under-sized by JPY 337,800,000 (~USD 2.15mm at YE spot) rather than re-sizing it retroactively — this is a live hedge-effectiveness finding, not an error to fix in the model.</t>
  </si>
  <si>
    <t xml:space="preserve">16_Corporate_Actions Notice 4.</t>
  </si>
  <si>
    <t xml:space="preserve">A7</t>
  </si>
  <si>
    <t xml:space="preserve">Loan book de-duplication across Alpha/Beta tapes and within Alpha's own tape.</t>
  </si>
  <si>
    <t xml:space="preserve">Count each loan once: Orion mezz counted via WTM-L-0002 only (WTM-L-0010 dropped, tape says “duplicate—do not double-count”). Timberline counted via Alpha WTM-L-0011 post-transfer only (Beta BLA-0044/45 pre-transfer dropped), balance corrected to $30,500,000 per prepayment notice (Alpha's $35,000,000 is stale). Haruki counted via Alpha WTM-L-0009 (USD) only (Beta BLA-0102 JPY line is the same asset in local currency, per Corp Actions Notice 4, not an additional exposure). Solara counted via Alpha WTM-L-0006 ($32mm drawn, matches revolver utilization report) only (Beta BLA-0156 dropped, same facility “reported differently”).</t>
  </si>
  <si>
    <t xml:space="preserve">01_Memo §3(a); 04_Beta tape notes (i)-(iii); 16_Corp Actions Notices 3 &amp; 4; 05_Revolver report.</t>
  </si>
  <si>
    <t xml:space="preserve">Loan_Book</t>
  </si>
  <si>
    <t xml:space="preserve">A8</t>
  </si>
  <si>
    <t xml:space="preserve">Dawnridge Post-Prod (transferred Beta→Alpha 01-Dec-25) does not appear on the Alpha Q4 tape provided.</t>
  </si>
  <si>
    <t xml:space="preserve">Retain the Beta-reported balance ($14,000,000) as the best available figure and flag it as pending confirmation on Alpha's Q1-26 tape, rather than dropping the loan.</t>
  </si>
  <si>
    <t xml:space="preserve">04_Beta tape, BLA-0141 note.</t>
  </si>
  <si>
    <t xml:space="preserve">A9</t>
  </si>
  <si>
    <t xml:space="preserve">FRGF OTC put fair value shown as GBp 52,000 in the Position_MV column without FX conversion (a labelled system error).</t>
  </si>
  <si>
    <t xml:space="preserve">Use the broker's own USD-converted figure (USD 65,442 at spot 1.2585) rather than the raw, unconverted Position_MV field.</t>
  </si>
  <si>
    <t xml:space="preserve">09_Options report, “CRITICAL NOTE ON FRGF.”</t>
  </si>
  <si>
    <t xml:space="preserve">Options</t>
  </si>
  <si>
    <t xml:space="preserve">A10</t>
  </si>
  <si>
    <t xml:space="preserve">SLRA OTC call (written by a founder trust on Solara, the Fund's own portfolio company) is Level-3 / model-marked at an unverified 62% vol input.</t>
  </si>
  <si>
    <t xml:space="preserve">Exclude SLRA's $117,500 mark-to-market from recognized sleeve P&amp;L; show it as a memo item only, recognized on exercise or first observable price.</t>
  </si>
  <si>
    <t xml:space="preserve">PM Trading Notes (11), “OPTIONS” section, explicit instruction.</t>
  </si>
  <si>
    <t xml:space="preserve">Options, KPI_Summary</t>
  </si>
  <si>
    <t xml:space="preserve">A11</t>
  </si>
  <si>
    <t xml:space="preserve">LMVU calls exercised 30-Dec-25 (150 contracts, 15,000 shares).</t>
  </si>
  <si>
    <t xml:space="preserve">Excluded from options P&amp;L; treated as a cost-basis roll into the equity co-invest sleeve ($95.20/share effective cost), consistent with PM instruction not to double count.</t>
  </si>
  <si>
    <t xml:space="preserve">09_Options activity log; 11_PM_Trading_Notes “OPTIONS.”</t>
  </si>
  <si>
    <t xml:space="preserve">A12</t>
  </si>
  <si>
    <t xml:space="preserve">Counterparty exposure snapshot lists the same legal entities multiple times across source systems.</t>
  </si>
  <si>
    <t xml:space="preserve">Consolidate to legal-entity-group before computing concentration: Aldgate National Securities LLC = Copperfield Prime Brokerage (rebrand, one PB relationship); Greystone Trust Bank NA = “HTB” (duplicate MO-Sheets row); Ashford Ridge NY/London = one legal entity.</t>
  </si>
  <si>
    <t xml:space="preserve">15_Counterparty_Exposure notes 1, 4, 5.</t>
  </si>
  <si>
    <t xml:space="preserve">Concentration_Test</t>
  </si>
  <si>
    <t xml:space="preserve">A13</t>
  </si>
  <si>
    <t xml:space="preserve">Greystone fund-level revolver ($300mm facility) has no utilization/drawn-balance time series in the data pack (file 05 covers two different, loan-level revolvers only).</t>
  </si>
  <si>
    <t xml:space="preserve">Do NOT back into an assumed drawn balance using an unstated SOFR level. Fund-level leverage cost is instead measured directly off actual cash-ledger interest paid ($5,250,000 for Q3 shown; Q4 not separately itemised in the ledger excerpt provided), flagged as a data gap rather than estimated.</t>
  </si>
  <si>
    <t xml:space="preserve">05_Revolver report covers WTM-L-0006 &amp; BLA-0128 only; 12_Cash_Ledger single Q3 entry.</t>
  </si>
  <si>
    <t xml:space="preserve">Debt_Facilities, KPI_Summary</t>
  </si>
  <si>
    <t xml:space="preserve">A14</t>
  </si>
  <si>
    <t xml:space="preserve">IRS notional ($250mm) vs. facility exposure it's meant to hedge.</t>
  </si>
  <si>
    <t xml:space="preserve">Use PM's stated effective floating exposure (~$350mm, i.e. $500mm combined facilities × ~50% average revolver utilisation for the fixed Ironbridge + variable Greystone blend) as the hedge target, giving an under-hedge of ~$100mm notional. Not independently re-derived — sourced directly from PM commentary.</t>
  </si>
  <si>
    <t xml:space="preserve">11_PM_Trading_Notes “IRS” section.</t>
  </si>
  <si>
    <t xml:space="preserve">IRS, KPI_Summary</t>
  </si>
  <si>
    <t xml:space="preserve">Colour key:</t>
  </si>
  <si>
    <t xml:space="preserve">Blue = input taken directly from a source file</t>
  </si>
  <si>
    <t xml:space="preserve">Black = formula computed within this workbook</t>
  </si>
  <si>
    <t xml:space="preserve">Green = link pulled from another tab in this workbook</t>
  </si>
  <si>
    <t xml:space="preserve">Yellow fill = key assumption / judgment-call cell</t>
  </si>
  <si>
    <t xml:space="preserve">Structured Debt &amp; Derivatives Sleeve — Q4-2025 KPI Summary</t>
  </si>
  <si>
    <t xml:space="preserve">All figures link to the supporting tabs (green = cross-sheet link). See Cover &amp; Assumptions tab for every judgment call underlying these numbers.</t>
  </si>
  <si>
    <t xml:space="preserve">KPI 1 — NET YIELD TO THE SLEEVE (Q4-2025, annualized where noted)</t>
  </si>
  <si>
    <t xml:space="preserve">Loan book — cash interest received, Q4</t>
  </si>
  <si>
    <t xml:space="preserve">Loan book — accrued interest income, Q4 (accrual basis)</t>
  </si>
  <si>
    <t xml:space="preserve">Content-library sub-licence royalty income, Q4 (per Assumption A4)</t>
  </si>
  <si>
    <t xml:space="preserve">Less: content-library lease cost, Q4 (Longwood + Nishimura, per A4)</t>
  </si>
  <si>
    <t xml:space="preserve">Less: CDS net premium paid/received, Q4</t>
  </si>
  <si>
    <t xml:space="preserve">Gross sleeve income, Q4 (accrual basis)</t>
  </si>
  <si>
    <t xml:space="preserve">Average funded loan balance (proxy for invested capital)</t>
  </si>
  <si>
    <t xml:space="preserve">Gross annualized yield on funded loan balance (accrual basis)</t>
  </si>
  <si>
    <t xml:space="preserve">LESS: FUND-LEVEL LEVERAGE COST</t>
  </si>
  <si>
    <t xml:space="preserve">Greystone revolver interest, Q3 (actual; Q4 not isolated in data, A13)</t>
  </si>
  <si>
    <t xml:space="preserve">Greystone revolver commitment fee, Q3</t>
  </si>
  <si>
    <t xml:space="preserve">Ironbridge term loan interest, H2 (semi-annual, shown as-is)</t>
  </si>
  <si>
    <t xml:space="preserve">IRS net swap settlement, Q3 (per Assumption A1)</t>
  </si>
  <si>
    <t xml:space="preserve">Total fund-level leverage cost shown (partial-period, see A13)</t>
  </si>
  <si>
    <t xml:space="preserve">Net sleeve income after shown leverage cost (partial-period)</t>
  </si>
  <si>
    <t xml:space="preserve">Caveat: Greystone revolver figures above are Q3 actuals (the only period the cash ledger itemises); Q4 fund-level revolver interest is a genuine data gap (Assumption A13), so “after-leverage” yield here is illustrative of the METHOD, not a clean like-for-like Q4 figure. Loan-level revolver costs (Solara, Orion RCF) are already netted into the loan book's cash/accrued interest above.</t>
  </si>
  <si>
    <t xml:space="preserve">KPI 2 — ARE THE HEDGES ACTUALLY HEDGING?</t>
  </si>
  <si>
    <t xml:space="preserve">Hedge</t>
  </si>
  <si>
    <t xml:space="preserve">Verdict</t>
  </si>
  <si>
    <t xml:space="preserve">Evidence</t>
  </si>
  <si>
    <t xml:space="preserve">IRS vs. Greystone revolver</t>
  </si>
  <si>
    <t xml:space="preserve">DIRECTIONALLY YES, size &amp; full-period proof incomplete</t>
  </si>
  <si>
    <t xml:space="preserve">Correctly structured (pay-fixed vs. pay-floating facility) and the persistent SOFR-CSA basis (14.7bps/yr) is small and accepted by the desk. But notional ($250mm) is undersized vs. PM's own $350mm effective-exposure estimate, and Q4 facility interest wasn't isolated in the data to prove full-period offset (A13, A14).</t>
  </si>
  <si>
    <t xml:space="preserve">CDS-0011 (Orion) vs. mezz + senior loan</t>
  </si>
  <si>
    <t xml:space="preserve">YES</t>
  </si>
  <si>
    <t xml:space="preserve">$14.4375mm settlement receipt materially offset the ~$14.5mm mezz writedown to auction-implied recovery — see CDS tab reconciliation, nets to ~$0 by construction.</t>
  </si>
  <si>
    <t xml:space="preserve">CDS-0018 (Lumivue) vs. unitranche</t>
  </si>
  <si>
    <t xml:space="preserve">YES, live</t>
  </si>
  <si>
    <t xml:space="preserve">Long protection correctly in-the-money as spreads widened against the held loan; both sources agree on sign.</t>
  </si>
  <si>
    <t xml:space="preserve">CDS-0022 (Timberline Ent.)</t>
  </si>
  <si>
    <t xml:space="preserve">N/A — not a hedge</t>
  </si>
  <si>
    <t xml:space="preserve">Explicitly an unrelated-name carry/income trade, not linked to the Timberline Music Rights loan (Compliance-confirmed).</t>
  </si>
  <si>
    <t xml:space="preserve">GBP forward (Thornbury)</t>
  </si>
  <si>
    <t xml:space="preserve">NO</t>
  </si>
  <si>
    <t xml:space="preserve">As executed, Fund buys GBP forward while it RECEIVES GBP from the loan — same-direction exposure, not offsetting (A3). Realized a further ~$2.27mm translation loss alongside the loan's own FX exposure.</t>
  </si>
  <si>
    <t xml:space="preserve">JPY forward (Haruki)</t>
  </si>
  <si>
    <t xml:space="preserve">PARTIALLY</t>
  </si>
  <si>
    <t xml:space="preserve">Direction is correct (sells JPY against a JPY receivable) but under-sized by JPY 337.8mm post notional-reset (A6) — hedge ratio ~88% of current exposure.</t>
  </si>
  <si>
    <t xml:space="preserve">EUR forward (Equinox / unconfirmed)</t>
  </si>
  <si>
    <t xml:space="preserve">UNCLEAR / not a confirmed hedge</t>
  </si>
  <si>
    <t xml:space="preserve">No stated linkage to any loan cashflow; modelled as a stand-alone position pending strategy-tag confirmation.</t>
  </si>
  <si>
    <t xml:space="preserve">Content-library lease + royalty (Longwood)</t>
  </si>
  <si>
    <t xml:space="preserve">STRUCTURAL HEDGE, by construction, per A4</t>
  </si>
  <si>
    <t xml:space="preserve">If treated as an investment cost against the royalty stream it generates (chosen treatment), net sleeve exposure is the spread between the two — economically a natural offset, not a market hedge.</t>
  </si>
  <si>
    <t xml:space="preserve">KPI 3 — COUNTERPARTY CONCENTRATION</t>
  </si>
  <si>
    <t xml:space="preserve">Orion Studios Holdings LLC exposure, mezz at recovery + CDS netted (recommended, A5)</t>
  </si>
  <si>
    <t xml:space="preserve">Greystone 12.5% single-name limit (USD)</t>
  </si>
  <si>
    <t xml:space="preserve">Headroom / (breach)</t>
  </si>
  <si>
    <t xml:space="preserve">Compliance status (recommended treatment)</t>
  </si>
  <si>
    <t xml:space="preserve">Result is treatment-dependent — see Concentration_Test tab for the full scenario range (agent has granted a 30-day standstill pending resolution). Consolidated by legal-entity-group per counterparty snapshot notes (Aldgate/Copperfield, Greystone/HTB, Ashford Ridge NY/London are each one relationship, not several).</t>
  </si>
  <si>
    <t xml:space="preserve">KPI 4 — RECOGNITION vs. CASH TIMING GAPS</t>
  </si>
  <si>
    <t xml:space="preserve">Item</t>
  </si>
  <si>
    <t xml:space="preserve">Accrued/Recognized (USD)</t>
  </si>
  <si>
    <t xml:space="preserve">Cash Received/Paid (USD)</t>
  </si>
  <si>
    <t xml:space="preserve">Gap (USD)</t>
  </si>
  <si>
    <t xml:space="preserve">Driver</t>
  </si>
  <si>
    <t xml:space="preserve">Loan book, aggregate (Loan_Book tab totals)</t>
  </si>
  <si>
    <t xml:space="preserve">Orion mezz delinquency (Q4 accrued $640,625, not received) + Haruki semi-annual pay-vs-accrual timing.</t>
  </si>
  <si>
    <t xml:space="preserve">CDS settlement (Orion)</t>
  </si>
  <si>
    <t xml:space="preserve">No gap — auction-driven cash settlement recognized when received; booking LAG in ledger (Sep event, Jan booking) is a processing delay, not an accrual gap.</t>
  </si>
  <si>
    <t xml:space="preserve">Emberlight PIK toggle (WTM-L-0013)</t>
  </si>
  <si>
    <t xml:space="preserve">PIK — by design, all recognized income is non-cash until toggled back to cash-pay or repaid.</t>
  </si>
  <si>
    <t xml:space="preserve">Content-library true-up (Longwood, Notice 6)</t>
  </si>
  <si>
    <t xml:space="preserve">Accrued 31-Dec-25; payable 31-Mar-26 — one-quarter lag by contract.</t>
  </si>
  <si>
    <t xml:space="preserve">MEMO: FUND-LEVEL CASH &amp; CAPITAL CONTEXT (not sleeve KPIs, shown for reference)</t>
  </si>
  <si>
    <t xml:space="preserve">Q4 net cash movement, all activity (Cash_Recon tab)</t>
  </si>
  <si>
    <t xml:space="preserve">Net LP capital called, inception-to-date (LP_Capital tab)</t>
  </si>
  <si>
    <t xml:space="preserve">Total LP distributions, inception-to-date (LP_Capital tab)</t>
  </si>
  <si>
    <t xml:space="preserve">Consolidated Loan Book — De-Duplicated Across Servicer Alpha &amp; Beta Tapes</t>
  </si>
  <si>
    <t xml:space="preserve">Sources: 03_Loan_Book_ServicerAlpha_2025Q4.csv, 04_ServicerBeta_LoanTape_Dec25.txt, 16_Corporate_Actions_Notices.txt. See Assumptions A7-A8.</t>
  </si>
  <si>
    <t xml:space="preserve">Loan ID</t>
  </si>
  <si>
    <t xml:space="preserve">Obligor</t>
  </si>
  <si>
    <t xml:space="preserve">Source</t>
  </si>
  <si>
    <t xml:space="preserve">Ccy</t>
  </si>
  <si>
    <t xml:space="preserve">Local Funded Bal.</t>
  </si>
  <si>
    <t xml:space="preserve">FX → USD</t>
  </si>
  <si>
    <t xml:space="preserve">Funded Bal. (USD)</t>
  </si>
  <si>
    <t xml:space="preserve">Coupon</t>
  </si>
  <si>
    <t xml:space="preserve">Pay Freq</t>
  </si>
  <si>
    <t xml:space="preserve">Q4 Cash Int. Recv'd (USD)</t>
  </si>
  <si>
    <t xml:space="preserve">Q4 Accrued Int. Income (USD)</t>
  </si>
  <si>
    <t xml:space="preserve">Recog. vs Cash Gap</t>
  </si>
  <si>
    <t xml:space="preserve">DPD</t>
  </si>
  <si>
    <t xml:space="preserve">Include?</t>
  </si>
  <si>
    <t xml:space="preserve">Notes / Assumption</t>
  </si>
  <si>
    <t xml:space="preserve">WTM-L-0001</t>
  </si>
  <si>
    <t xml:space="preserve">Orion Studios Holdings LLC</t>
  </si>
  <si>
    <t xml:space="preserve">Alpha</t>
  </si>
  <si>
    <t xml:space="preserve">USD</t>
  </si>
  <si>
    <t xml:space="preserve">SOFR+650</t>
  </si>
  <si>
    <t xml:space="preserve">Quarterly</t>
  </si>
  <si>
    <t xml:space="preserve">Y</t>
  </si>
  <si>
    <t xml:space="preserve">Senior term loan; paid current.</t>
  </si>
  <si>
    <t xml:space="preserve">WTM-L-0002</t>
  </si>
  <si>
    <t xml:space="preserve">10.25% Fixed</t>
  </si>
  <si>
    <t xml:space="preserve">Mezz; Dec-25 coupon accrued not received (A2/A5). Recovery-adj. value for concentration = 42.25% × face, see Concentration_Test.</t>
  </si>
  <si>
    <t xml:space="preserve">WTM-L-0010</t>
  </si>
  <si>
    <t xml:space="preserve">N</t>
  </si>
  <si>
    <t xml:space="preserve">EXCLUDE — tape's own note: duplicate of WTM-L-0002 (A7).</t>
  </si>
  <si>
    <t xml:space="preserve">WTM-L-0003</t>
  </si>
  <si>
    <t xml:space="preserve">Emberlight Records Group</t>
  </si>
  <si>
    <t xml:space="preserve">SOFR+525</t>
  </si>
  <si>
    <t xml:space="preserve">Monthly</t>
  </si>
  <si>
    <t xml:space="preserve">Monthly pay; Q4 cash = last recorded monthly pmt × 3 (assumption, only Dec pmt shown on tape).</t>
  </si>
  <si>
    <t xml:space="preserve">WTM-L-0013</t>
  </si>
  <si>
    <t xml:space="preserve">Emberlight Records Group (PIK toggle)</t>
  </si>
  <si>
    <t xml:space="preserve">12.50% Fixed PIK</t>
  </si>
  <si>
    <t xml:space="preserve">PIK</t>
  </si>
  <si>
    <t xml:space="preserve">2nd consecutive PIK election; non-cash, added to principal (Corp Actions Notice 2). Clean recognition-vs-cash example.</t>
  </si>
  <si>
    <t xml:space="preserve">WTM-L-0004</t>
  </si>
  <si>
    <t xml:space="preserve">Prismrock Live Events Inc</t>
  </si>
  <si>
    <t xml:space="preserve">9.50% Fixed</t>
  </si>
  <si>
    <t xml:space="preserve">Paid current.</t>
  </si>
  <si>
    <t xml:space="preserve">WTM-L-0005</t>
  </si>
  <si>
    <t xml:space="preserve">Lumivue Streaming Corp</t>
  </si>
  <si>
    <t xml:space="preserve">SOFR+700</t>
  </si>
  <si>
    <t xml:space="preserve">Unitranche; paid current.</t>
  </si>
  <si>
    <t xml:space="preserve">WTM-L-0006</t>
  </si>
  <si>
    <t xml:space="preserve">Solara Content Partners</t>
  </si>
  <si>
    <t xml:space="preserve">SOFR+475</t>
  </si>
  <si>
    <t xml:space="preserve">Revolver, drawn portion; +unused fee $29,143/qtr, see Debt_Facilities. Balance ties to 05_Revolver report.</t>
  </si>
  <si>
    <t xml:space="preserve">WTM-L-0007</t>
  </si>
  <si>
    <t xml:space="preserve">Ridgeline Post-Production LLC</t>
  </si>
  <si>
    <t xml:space="preserve">11.00% Fixed</t>
  </si>
  <si>
    <t xml:space="preserve">WTM-L-0008</t>
  </si>
  <si>
    <t xml:space="preserve">Frostgate Films Ltd</t>
  </si>
  <si>
    <t xml:space="preserve">SOFR+600</t>
  </si>
  <si>
    <t xml:space="preserve">GBP-denominated obligor; loan itself booked/paid in USD.</t>
  </si>
  <si>
    <t xml:space="preserve">WTM-L-0009</t>
  </si>
  <si>
    <t xml:space="preserve">Haruki Anime Studios KK</t>
  </si>
  <si>
    <t xml:space="preserve">8.75% Fixed</t>
  </si>
  <si>
    <t xml:space="preserve">Semi-Annual</t>
  </si>
  <si>
    <t xml:space="preserve">Semi-annual pay — Dec pmt covers Jun-Dec; only half is Q4-earned income (recognition gap). JPY notional reset Nov-25, see FX_Forwards (A6).</t>
  </si>
  <si>
    <t xml:space="preserve">WTM-L-0011</t>
  </si>
  <si>
    <t xml:space="preserve">Timberline Music Rights I LLC</t>
  </si>
  <si>
    <t xml:space="preserve">9.00% Fixed</t>
  </si>
  <si>
    <t xml:space="preserve">Balance corrected to $30.5mm post 05-Oct-25 prepayment (tape's stale $35mm overridden, Corp Actions Notice 3). Accrual pro-rated 5 days@$35mm + 87 days@$30.5mm, Act/360. Prepay premium $45,000 (one-off, see KPI_Summary).</t>
  </si>
  <si>
    <t xml:space="preserve">WTM-L-0012</t>
  </si>
  <si>
    <t xml:space="preserve">Greystone Bridge Loan</t>
  </si>
  <si>
    <t xml:space="preserve">SOFR+800</t>
  </si>
  <si>
    <t xml:space="preserve">Short bridge, originated 15-Oct-25; Q4 cash = Dec pmt × 3 as proxy for Oct-Dec (only Dec pmt in ledger — approximation, flagged).</t>
  </si>
  <si>
    <t xml:space="preserve">BLA-0141</t>
  </si>
  <si>
    <t xml:space="preserve">Dawnridge Post-Prod Services</t>
  </si>
  <si>
    <t xml:space="preserve">Beta</t>
  </si>
  <si>
    <t xml:space="preserve">Transferred Beta→Alpha 01-Dec-25 but absent from Alpha's Q4 tape (A8) — carried at Beta's balance pending Q1-26 confirmation.</t>
  </si>
  <si>
    <t xml:space="preserve">BLA-0088</t>
  </si>
  <si>
    <t xml:space="preserve">Thornbury Publishing GBP LTD</t>
  </si>
  <si>
    <t xml:space="preserve">GBP</t>
  </si>
  <si>
    <t xml:space="preserve">6.75% Fixed</t>
  </si>
  <si>
    <t xml:space="preserve">GBP loan; FX-hedged via WTM-FX-0044 roll (see FX_Forwards — hedge direction is disputed, A3). Converted at YE spot 1.2585.</t>
  </si>
  <si>
    <t xml:space="preserve">BLA-0119</t>
  </si>
  <si>
    <t xml:space="preserve">Equinox Live Ent GmbH</t>
  </si>
  <si>
    <t xml:space="preserve">EUR</t>
  </si>
  <si>
    <t xml:space="preserve">7.50% Fixed</t>
  </si>
  <si>
    <t xml:space="preserve">EUR loan; hedge status unclear — WTM-FX-0046 EUR fwd purpose unconfirmed with client, treated as unhedged. Converted at best-available EUR/USD proxy 1.0655 (no YE spot in source data, A-note).</t>
  </si>
  <si>
    <t xml:space="preserve">BLA-0128</t>
  </si>
  <si>
    <t xml:space="preserve">Orion Studios Holdings LLC (RCF)</t>
  </si>
  <si>
    <t xml:space="preserve">Revolver on Orion, separate from term loans; drawdown frozen post-15-Oct-25 restructuring.</t>
  </si>
  <si>
    <t xml:space="preserve">BLA-0156</t>
  </si>
  <si>
    <t xml:space="preserve">EXCLUDE — same facility as WTM-L-0006, reported by both servicers (A7).</t>
  </si>
  <si>
    <t xml:space="preserve">BLA-0171</t>
  </si>
  <si>
    <t xml:space="preserve">Lumivue Streaming Corp (2nd Lien)</t>
  </si>
  <si>
    <t xml:space="preserve">11.50% Fixed</t>
  </si>
  <si>
    <t xml:space="preserve">Separate tranche from the Alpha-reported unitranche — both real, both included.</t>
  </si>
  <si>
    <t xml:space="preserve">BLA-0044</t>
  </si>
  <si>
    <t xml:space="preserve">Timberline Music Rights I LLC (pre-transfer)</t>
  </si>
  <si>
    <t xml:space="preserve">EXCLUDE — pre-transfer view of WTM-L-0011, superseded (A7).</t>
  </si>
  <si>
    <t xml:space="preserve">BLA-0045</t>
  </si>
  <si>
    <t xml:space="preserve">Timberline Music Rights I LLC (pre-transfer accrual)</t>
  </si>
  <si>
    <t xml:space="preserve">EXCLUDE — pre-transfer accrual-only line, superseded (A7).</t>
  </si>
  <si>
    <t xml:space="preserve">BLA-0102</t>
  </si>
  <si>
    <t xml:space="preserve">Haruki Anime Studios KK (JPY view)</t>
  </si>
  <si>
    <t xml:space="preserve">JPY</t>
  </si>
  <si>
    <t xml:space="preserve">EXCLUDE — same asset as WTM-L-0009 reported in local currency by Beta (Corp Actions Notice 4), not incremental exposure (A7).</t>
  </si>
  <si>
    <t xml:space="preserve">TOTAL — INCLUDED LOANS ONLY</t>
  </si>
  <si>
    <t xml:space="preserve">Memo: loans excluded as duplicates (for reference, not in total)</t>
  </si>
  <si>
    <t xml:space="preserve">Face value of excluded duplicate/superseded lines:</t>
  </si>
  <si>
    <t xml:space="preserve">Fund-Level Debt Facilities — Cost of Leverage</t>
  </si>
  <si>
    <t xml:space="preserve">Sources: 02_Greystone_Facility_Agreement_Excerpt.txt, 05_Revolver_Utilization_Report.csv, 12_Cash_Ledger_Q4_2025.csv. See Assumption A13.</t>
  </si>
  <si>
    <t xml:space="preserve">1. GREYSTONE REVOLVER (fund-level, $300mm committed)</t>
  </si>
  <si>
    <t xml:space="preserve">Committed amount (USD)</t>
  </si>
  <si>
    <t xml:space="preserve">02_Facility Agmt §2.01</t>
  </si>
  <si>
    <t xml:space="preserve">Pricing</t>
  </si>
  <si>
    <t xml:space="preserve">Term SOFR + 11.448bps CSA + 275bps margin (post 01-Jul-24; was 3M LIBOR + 275bps pre-transition)</t>
  </si>
  <si>
    <t xml:space="preserve">02_Facility Agmt §2.05</t>
  </si>
  <si>
    <t xml:space="preserve">Commitment fee (undrawn)</t>
  </si>
  <si>
    <t xml:space="preserve">02_Facility Agmt §2.09(a), 40bps p.a.</t>
  </si>
  <si>
    <t xml:space="preserve">Upfront fee (capitalised into principal, day 1)</t>
  </si>
  <si>
    <t xml:space="preserve">02_Facility Agmt §2.09(c) — loan balance on Bank's books &gt; cash actually received</t>
  </si>
  <si>
    <t xml:space="preserve">Asset coverage covenant</t>
  </si>
  <si>
    <t xml:space="preserve">≥ 1.55x Borrowing Base Assets / (Revolver + Term Loan o/s)</t>
  </si>
  <si>
    <t xml:space="preserve">02_Facility Agmt §6.01</t>
  </si>
  <si>
    <t xml:space="preserve">Q3-25 interest paid (actual, cash ledger)</t>
  </si>
  <si>
    <t xml:space="preserve">12_Cash_Ledger 15-Oct-25, DEBT_INT_OUT</t>
  </si>
  <si>
    <t xml:space="preserve">Q3-25 commitment fee paid (actual, cash ledger)</t>
  </si>
  <si>
    <t xml:space="preserve">12_Cash_Ledger 15-Oct-25, DEBT_FEE_OUT (40bps × avg undrawn $187.5mm × 90/360)</t>
  </si>
  <si>
    <t xml:space="preserve">Implied avg. undrawn Q3 (back-solved from fee)</t>
  </si>
  <si>
    <t xml:space="preserve">Back-solved: fee / (rate × day fraction)</t>
  </si>
  <si>
    <t xml:space="preserve">Implied avg. drawn Q3 (committed − undrawn)</t>
  </si>
  <si>
    <t xml:space="preserve">300mm committed less implied undrawn</t>
  </si>
  <si>
    <t xml:space="preserve">Q4-25 drawn balance / interest</t>
  </si>
  <si>
    <t xml:space="preserve">NOT ISOLATED IN THE DATA PACK — see Assumption A13</t>
  </si>
  <si>
    <t xml:space="preserve">2. IRONBRIDGE TERM LOAN (fund-level, $200mm, bullet)</t>
  </si>
  <si>
    <t xml:space="preserve">Principal (USD)</t>
  </si>
  <si>
    <t xml:space="preserve">02_Facility Agmt Art. VIII</t>
  </si>
  <si>
    <t xml:space="preserve">02_Facility Agmt Art. VIII, fixed, semi-annual</t>
  </si>
  <si>
    <t xml:space="preserve">Maturity</t>
  </si>
  <si>
    <t xml:space="preserve">22-Feb-2029 (bullet)</t>
  </si>
  <si>
    <t xml:space="preserve">H2-25 interest paid (actual, cash ledger)</t>
  </si>
  <si>
    <t xml:space="preserve">12_Cash_Ledger 31-Dec-25, DEBT_INT_OUT</t>
  </si>
  <si>
    <t xml:space="preserve">Check: 8.25% × $200mm × ½ year</t>
  </si>
  <si>
    <t xml:space="preserve">Formula cross-check vs. cash ledger figure above</t>
  </si>
  <si>
    <t xml:space="preserve">3. LOAN-LEVEL REVOLVERS (embedded in borrower facilities, not fund leverage)</t>
  </si>
  <si>
    <t xml:space="preserve">Facility</t>
  </si>
  <si>
    <t xml:space="preserve">Commitment</t>
  </si>
  <si>
    <t xml:space="preserve">Drawn 31-Dec-25</t>
  </si>
  <si>
    <t xml:space="preserve">Undrawn</t>
  </si>
  <si>
    <t xml:space="preserve">Util. Fee (bps)</t>
  </si>
  <si>
    <t xml:space="preserve">Q4 Interest/Fee Cash (USD)</t>
  </si>
  <si>
    <t xml:space="preserve">Notes</t>
  </si>
  <si>
    <t xml:space="preserve">WTM-L-0006 / BLA-0156</t>
  </si>
  <si>
    <t xml:space="preserve">Util. fee triggered above 50% utilisation per side letter (05_Revolver report, 09/25 note).</t>
  </si>
  <si>
    <t xml:space="preserve">Drawdown frozen post-15-Oct-25 restructuring (05_Revolver report note).</t>
  </si>
  <si>
    <t xml:space="preserve">Interest Rate Swap — GTB-IRS-2024-0342 — Hedge Effectiveness</t>
  </si>
  <si>
    <t xml:space="preserve">Sources: 07_IRS_Confirmation_Greystone.txt, 10_Broker_MTM_Statement_Dec2025.json, 12_Cash_Ledger_Q4_2025.csv, 11_PM_Trading_Notes.txt. See Assumptions A1, A14.</t>
  </si>
  <si>
    <t xml:space="preserve">TERMS</t>
  </si>
  <si>
    <t xml:space="preserve">Notional (USD)</t>
  </si>
  <si>
    <t xml:space="preserve">Fund pays fixed</t>
  </si>
  <si>
    <t xml:space="preserve">Fund receives floating</t>
  </si>
  <si>
    <t xml:space="preserve">USD-LIBOR-BBA 3M → fallback Term SOFR + 26.161bps CSA (post-cessation)</t>
  </si>
  <si>
    <t xml:space="preserve">Trade / Effective / Termination</t>
  </si>
  <si>
    <t xml:space="preserve">28-Feb-24 / 04-Mar-24 / 04-Mar-27</t>
  </si>
  <si>
    <t xml:space="preserve">Hedge accounting elected?</t>
  </si>
  <si>
    <t xml:space="preserve">No (per deal memo)</t>
  </si>
  <si>
    <t xml:space="preserve">BASIS MISMATCH (facility vs. swap, post-LIBOR)</t>
  </si>
  <si>
    <t xml:space="preserve">Greystone revolver CSA (fallback)</t>
  </si>
  <si>
    <t xml:space="preserve">IRS floating leg CSA (fallback)</t>
  </si>
  <si>
    <t xml:space="preserve">Persistent annual basis absorbed by the fund</t>
  </si>
  <si>
    <t xml:space="preserve">Sticky note 03-Jul-24 (N.R.): 26.161 − 11.448 = 14.713bps/yr; desk decided to live with it, not unwind.</t>
  </si>
  <si>
    <t xml:space="preserve">HEDGE SIZING</t>
  </si>
  <si>
    <t xml:space="preserve">Combined facility commitments</t>
  </si>
  <si>
    <t xml:space="preserve">PM-estimated effective floating exposure (~50% avg revolver util. blended)</t>
  </si>
  <si>
    <t xml:space="preserve">IRS notional</t>
  </si>
  <si>
    <t xml:space="preserve">Under-hedged notional gap</t>
  </si>
  <si>
    <t xml:space="preserve">Source: PM Trading Notes — IRS section, explicit (A14). Facility-committed sizing rationale ($500M less assumed 50% revolver utilisation = $250M) is in the original deal memo but produces a smaller notional than PM's own effective-exposure estimate.</t>
  </si>
  <si>
    <t xml:space="preserve">HEDGE EFFECTIVENESS (per PM's specified measure)</t>
  </si>
  <si>
    <t xml:space="preserve">PM formula: (swap P&amp;L + change in facility interest expense) / notional ≈ 0 if hedging well.</t>
  </si>
  <si>
    <t xml:space="preserve">Swap fair value to Fund, 31-Dec-25 (MTM)</t>
  </si>
  <si>
    <t xml:space="preserve">07_IRS confirm / 10_Broker MTM</t>
  </si>
  <si>
    <t xml:space="preserve">Swap accrued (unpaid) since last pay date</t>
  </si>
  <si>
    <t xml:space="preserve">10_Broker MTM</t>
  </si>
  <si>
    <t xml:space="preserve">Q3-25 net swap cash settlement (real entry, per A1)</t>
  </si>
  <si>
    <t xml:space="preserve">12_Cash_Ledger 04-Oct-25, adopted per Assumption A1</t>
  </si>
  <si>
    <t xml:space="preserve">Q3-25 duplicate/erroneous entry excluded (memo only)</t>
  </si>
  <si>
    <t xml:space="preserve">12_Cash_Ledger — EXCLUDED, see A1</t>
  </si>
  <si>
    <t xml:space="preserve">Facility interest cost, Q3-25 (actual, cash ledger)</t>
  </si>
  <si>
    <t xml:space="preserve">Prior-quarter facility interest cost for comparison</t>
  </si>
  <si>
    <t xml:space="preserve">NOT PROVIDED IN DATA PACK — cannot compute a period-over-period Δ facility cost</t>
  </si>
  <si>
    <t xml:space="preserve">CONCLUSION</t>
  </si>
  <si>
    <t xml:space="preserve">The swap's negative $3.84M mark, viewed alone, looks like a losing trade — but that is the wrong lens per PM notes: rates fell, so the Fund pays more on the fixed leg than it receives floating, while the Greystone revolver's own floating cost fell by a comparable amount over the same period. Two things limit how precisely "hedge effectiveness" can be proven here: (i) the data pack has no time series of Q4 facility interest expense to compare against the swap's Q4 P&amp;L, and (ii) the swap notional ($250mm) is undersized relative to PM's own $350mm effective-exposure estimate, so even a perfectly offsetting swap would only hedge ~71% of the floating exposure. Directionally the hedge is real and correctly signed (pay-fixed swap against a pay-floating facility), but full quantitative proof of effectiveness is a data gap, not a model conclusion — flagged rather than estimated.</t>
  </si>
  <si>
    <t xml:space="preserve">Credit Default Swaps — Direction, Settlement &amp; Recognition</t>
  </si>
  <si>
    <t xml:space="preserve">Sources: 06_CDS_Confirmation_OrionStudios.txt, 10_Broker_MTM_Statement_Dec2025.json, 11_PM_Trading_Notes.txt, 16_Corporate_Actions_Notices.txt, 12_Cash_Ledger. See Assumption A2.</t>
  </si>
  <si>
    <t xml:space="preserve">Trade Ref</t>
  </si>
  <si>
    <t xml:space="preserve">Reference Entity</t>
  </si>
  <si>
    <t xml:space="preserve">Fund Direction</t>
  </si>
  <si>
    <t xml:space="preserve">Coupon (bps)</t>
  </si>
  <si>
    <t xml:space="preserve">Fair Value 31-Dec-25 (USD)</t>
  </si>
  <si>
    <t xml:space="preserve">Q4 Premium Cash (USD)</t>
  </si>
  <si>
    <t xml:space="preserve">ARI-WTM-CDS-0011</t>
  </si>
  <si>
    <t xml:space="preserve">Protection BUYER (Fixed Rate Payer)</t>
  </si>
  <si>
    <t xml:space="preserve">Hedge (long loan exposure)</t>
  </si>
  <si>
    <t xml:space="preserve">Credit event 10-Sep-25; auction 24-Sep-25 at 42.25; settlement USD 14,437,500 treated as a RECEIPT to the Fund per Assumption A2 (confirm's plain reading + PM's paying-not-receiving premium evidence + cash ledger booking). Position now closed.</t>
  </si>
  <si>
    <t xml:space="preserve">ARI-WTM-CDS-0018</t>
  </si>
  <si>
    <t xml:space="preserve">Hedge (long unitranche)</t>
  </si>
  <si>
    <t xml:space="preserve">Live; long protection in the money as credit spreads have widened — correctly offsetting the underlying loan (both PM notes and broker statement agree on sign here).</t>
  </si>
  <si>
    <t xml:space="preserve">ARI-WTM-CDS-0022</t>
  </si>
  <si>
    <t xml:space="preserve">Timberline Entertainment Group Inc</t>
  </si>
  <si>
    <t xml:space="preserve">Protection SELLER (Floating Rate Payer)</t>
  </si>
  <si>
    <t xml:space="preserve">Income generation (unrelated name)</t>
  </si>
  <si>
    <t xml:space="preserve">Pure carry trade — NOT linked to Timberline Music Rights I LLC loan (different, unrelated obligor; Compliance confirmed no netting). Spread widened 340→~420bps since inception; position under water at YE but PM is holding.</t>
  </si>
  <si>
    <t xml:space="preserve">ORION SETTLEMENT MECHANICS (CDS-0011)</t>
  </si>
  <si>
    <t xml:space="preserve">Auction final price (% of par)</t>
  </si>
  <si>
    <t xml:space="preserve">Recovery amount (Notional × price)</t>
  </si>
  <si>
    <t xml:space="preserve">Settlement amount = Notional × (100% − price)</t>
  </si>
  <si>
    <t xml:space="preserve">Direction (per Assumption A2)</t>
  </si>
  <si>
    <t xml:space="preserve">Fund receives settlement</t>
  </si>
  <si>
    <t xml:space="preserve">OFFSET vs. MEZZ WRITEDOWN</t>
  </si>
  <si>
    <t xml:space="preserve">Orion mezz face value (WTM-L-0002)</t>
  </si>
  <si>
    <t xml:space="preserve">Mezz recovery mark (= CDS auction price, per Assumption A5)</t>
  </si>
  <si>
    <t xml:space="preserve">Mezz writedown from par</t>
  </si>
  <si>
    <t xml:space="preserve">CDS settlement receipt (from above)</t>
  </si>
  <si>
    <t xml:space="preserve">Net P&amp;L impact of the Orion event (CDS gain less mezz writedown)</t>
  </si>
  <si>
    <t xml:space="preserve">Reads ~$0 by construction: mezz was marked to the SAME auction price used to size the CDS settlement (Assumption A5), which is the point of the hedge — the residual is the senior loan (still money-good) plus the RSA warrants (near-zero) and the 100bps premium paid over the trade's life.</t>
  </si>
  <si>
    <t xml:space="preserve">FX Forwards — Hedge Direction &amp; Settlement P&amp;L</t>
  </si>
  <si>
    <t xml:space="preserve">Sources: 08_FX_Forward_Confirmations.txt, 10_Broker_MTM_Statement_Dec2025.json, 16_Corporate_Actions_Notices.txt. See Assumptions A3, A6.</t>
  </si>
  <si>
    <t xml:space="preserve">Client Ref</t>
  </si>
  <si>
    <t xml:space="preserve">Pair</t>
  </si>
  <si>
    <t xml:space="preserve">Fund Position (as executed)</t>
  </si>
  <si>
    <t xml:space="preserve">Notional</t>
  </si>
  <si>
    <t xml:space="preserve">Contract Rate</t>
  </si>
  <si>
    <t xml:space="preserve">Fixing/Current Rate</t>
  </si>
  <si>
    <t xml:space="preserve">Settlement / MTM P&amp;L (USD)</t>
  </si>
  <si>
    <t xml:space="preserve">Hedges</t>
  </si>
  <si>
    <t xml:space="preserve">Notes / Direction Analysis</t>
  </si>
  <si>
    <t xml:space="preserve">WTM-FX-0044</t>
  </si>
  <si>
    <t xml:space="preserve">GBP/USD</t>
  </si>
  <si>
    <t xml:space="preserve">Fund BUYS GBP 22.4mm / SELLS USD 30.464mm</t>
  </si>
  <si>
    <t xml:space="preserve">Thornbury GBP loan (BLA-0088)</t>
  </si>
  <si>
    <t xml:space="preserve">PM notes flag this as the WRONG direction: to hedge a GBP RECEIPT (loan coupon/principal), the Fund should be SELLING GBP forward, not buying it. As executed, the forward moves the SAME direction as the underlying loan — it doubles exposure rather than offsetting it (Assumption A3: model as-executed, per PM instruction).</t>
  </si>
  <si>
    <t xml:space="preserve">WTM-FX-0045</t>
  </si>
  <si>
    <t xml:space="preserve">USD/JPY</t>
  </si>
  <si>
    <t xml:space="preserve">Fund SELLS JPY 2,400mm / BUYS USD 15,789,474</t>
  </si>
  <si>
    <t xml:space="preserve">Haruki Anime Studios KK loan (BLA-0102/WTM-L-0009)</t>
  </si>
  <si>
    <t xml:space="preserve">Correct hedge DIRECTION (selling JPY forward against a JPY receivable is right), but under-SIZED: loan notional reset Nov-25 to JPY 2,737,800,000 while forward stayed at the original JPY 2,400,000,000 — shortfall of JPY 337,800,000 (≈ USD 2.15mm at YE spot), Assumption A6. Settlement sign per source email's own correction (fund sold JPY too cheap = loss).</t>
  </si>
  <si>
    <t xml:space="preserve">WTM-FX-0046</t>
  </si>
  <si>
    <t xml:space="preserve">EUR/USD</t>
  </si>
  <si>
    <t xml:space="preserve">Client BUYS EUR 4.75mm / SELLS USD 5.15mm</t>
  </si>
  <si>
    <t xml:space="preserve">UNCONFIRMED — booked outside the loan-hedging program</t>
  </si>
  <si>
    <t xml:space="preserve">Purpose not stated in the confirm email; not tied to any loan cashflow in the data pack. Modelled here as a stand-alone / speculative position, not a hedge, pending strategy-tag confirmation (per the FX desk's own note).</t>
  </si>
  <si>
    <t xml:space="preserve">HEDGE EFFECTIVENESS SUMMARY</t>
  </si>
  <si>
    <t xml:space="preserve">Underlying Direction</t>
  </si>
  <si>
    <t xml:space="preserve">Forward Direction (as-executed)</t>
  </si>
  <si>
    <t xml:space="preserve">Offsetting?</t>
  </si>
  <si>
    <t xml:space="preserve">Comment</t>
  </si>
  <si>
    <t xml:space="preserve">GBP (Thornbury)</t>
  </si>
  <si>
    <t xml:space="preserve">Fund RECEIVES GBP (loan coupon/principal) → exposed to GBP weakening</t>
  </si>
  <si>
    <t xml:space="preserve">Fund BUYS GBP forward (same direction as receipt)</t>
  </si>
  <si>
    <t xml:space="preserve">NO — compounds exposure</t>
  </si>
  <si>
    <t xml:space="preserve">As booked, a GBP depreciation loses on BOTH the loan translation and the forward. Should be selling GBP forward.</t>
  </si>
  <si>
    <t xml:space="preserve">JPY (Haruki)</t>
  </si>
  <si>
    <t xml:space="preserve">Fund RECEIVES JPY → exposed to JPY weakening</t>
  </si>
  <si>
    <t xml:space="preserve">Fund SELLS JPY forward (correct direction)</t>
  </si>
  <si>
    <t xml:space="preserve">PARTIALLY — under-sized</t>
  </si>
  <si>
    <t xml:space="preserve">Direction is right; size is stale post notional-reset. Effectiveness degrades as the loan notional grows relative to the static hedge.</t>
  </si>
  <si>
    <t xml:space="preserve">EUR (Equinox / unconfirmed)</t>
  </si>
  <si>
    <t xml:space="preserve">No stated underlying link</t>
  </si>
  <si>
    <t xml:space="preserve">Fund (client) BUYS EUR forward</t>
  </si>
  <si>
    <t xml:space="preserve">N/A — not a confirmed hedge</t>
  </si>
  <si>
    <t xml:space="preserve">Should be treated as a directional/speculative FX position for KPI purposes until strategy tag is confirmed.</t>
  </si>
  <si>
    <t xml:space="preserve">Options — Open Positions &amp; Q4 Realized Activity</t>
  </si>
  <si>
    <t xml:space="preserve">Sources: 09_Options_Positions_PrimeBroker.tsv, 12_Cash_Ledger_Q4_2025.csv, 11_PM_Trading_Notes.txt. See Assumptions A9-A11.</t>
  </si>
  <si>
    <t xml:space="preserve">OPEN POSITIONS, 31-DEC-2025</t>
  </si>
  <si>
    <t xml:space="preserve">Ticker</t>
  </si>
  <si>
    <t xml:space="preserve">Underlying</t>
  </si>
  <si>
    <t xml:space="preserve">Type</t>
  </si>
  <si>
    <t xml:space="preserve">Right</t>
  </si>
  <si>
    <t xml:space="preserve">Contracts</t>
  </si>
  <si>
    <t xml:space="preserve">Strike</t>
  </si>
  <si>
    <t xml:space="preserve">Fair Value (USD)</t>
  </si>
  <si>
    <t xml:space="preserve">ORNX</t>
  </si>
  <si>
    <t xml:space="preserve">Orion Studios Holdings Corp</t>
  </si>
  <si>
    <t xml:space="preserve">LISTED</t>
  </si>
  <si>
    <t xml:space="preserve">CALL</t>
  </si>
  <si>
    <t xml:space="preserve">Short call — loan-linked equity, strategy tag pending PM confirmation.</t>
  </si>
  <si>
    <t xml:space="preserve">PUT</t>
  </si>
  <si>
    <t xml:space="preserve">Long protective put.</t>
  </si>
  <si>
    <t xml:space="preserve">LMVU</t>
  </si>
  <si>
    <t xml:space="preserve">Long call.</t>
  </si>
  <si>
    <t xml:space="preserve">Short put, premium collected.</t>
  </si>
  <si>
    <t xml:space="preserve">EMBL</t>
  </si>
  <si>
    <t xml:space="preserve">Emberlight Records Group ADR</t>
  </si>
  <si>
    <t xml:space="preserve">Short call vs. equity co-invest.</t>
  </si>
  <si>
    <t xml:space="preserve">FRGF</t>
  </si>
  <si>
    <t xml:space="preserve">Frostgate Films Ltd (GDR)</t>
  </si>
  <si>
    <t xml:space="preserve">OTC</t>
  </si>
  <si>
    <t xml:space="preserve">GBp-denominated; USD equivalent used per Assumption A9 (raw report figure of GBp 52,000 was a mislabeled system error).</t>
  </si>
  <si>
    <t xml:space="preserve">PRMK</t>
  </si>
  <si>
    <t xml:space="preserve">Long call, directional.</t>
  </si>
  <si>
    <t xml:space="preserve">SLRA</t>
  </si>
  <si>
    <t xml:space="preserve">Level-3 / model-marked (62% vol, unverified) — EXCLUDED from recognized P&amp;L per Assumption A10; memo fair value per broker statement was $117,500.</t>
  </si>
  <si>
    <t xml:space="preserve">TOTAL RECOGNIZED FAIR VALUE (excl. SLRA, Assumption A10)</t>
  </si>
  <si>
    <t xml:space="preserve">Q4 REALIZED ACTIVITY (closes / expiries / exercises)</t>
  </si>
  <si>
    <t xml:space="preserve">Date</t>
  </si>
  <si>
    <t xml:space="preserve">Position</t>
  </si>
  <si>
    <t xml:space="preserve">Event</t>
  </si>
  <si>
    <t xml:space="preserve">Realized P&amp;L (USD)</t>
  </si>
  <si>
    <t xml:space="preserve">2025-10-22</t>
  </si>
  <si>
    <t xml:space="preserve">LMVU PUT 70, Nov-25 exp, 100 lots long</t>
  </si>
  <si>
    <t xml:space="preserve">Closed @ 0.10 (opened @ 1.85)</t>
  </si>
  <si>
    <t xml:space="preserve">Realized loss.</t>
  </si>
  <si>
    <t xml:space="preserve">2025-11-15</t>
  </si>
  <si>
    <t xml:space="preserve">ORNX CALL 15, Nov-25 exp, 300 lots short</t>
  </si>
  <si>
    <t xml:space="preserve">Expired worthless (opened @ 2.20)</t>
  </si>
  <si>
    <t xml:space="preserve">Realized gain, premium kept.</t>
  </si>
  <si>
    <t xml:space="preserve">2025-12-20</t>
  </si>
  <si>
    <t xml:space="preserve">EMBL PUT 20, Dec-25 exp, 400 lots long</t>
  </si>
  <si>
    <t xml:space="preserve">Expired worthless (opened @ 0.95)</t>
  </si>
  <si>
    <t xml:space="preserve">2025-12-30</t>
  </si>
  <si>
    <t xml:space="preserve">LMVU CALL 90, Dec-25 exp, 150 lots long</t>
  </si>
  <si>
    <t xml:space="preserve">Exercised — physical settlement</t>
  </si>
  <si>
    <t xml:space="preserve">No option P&amp;L — rolls into equity co-invest cost basis at $95.20/sh (strike $90.00 + premium $5.20). Excluded from options P&amp;L per Assumption A11; cash outflow $1,350,000 tie-out on Cash_Recon tab.</t>
  </si>
  <si>
    <t xml:space="preserve">TOTAL Q4 REALIZED OPTIONS P&amp;L</t>
  </si>
  <si>
    <t xml:space="preserve">Leased Assets Registry — Treatment &amp; Sleeve Cost</t>
  </si>
  <si>
    <t xml:space="preserve">Sources: 14_Leased_Assets_Registry.csv, 11_PM_Trading_Notes.txt, 16_Corporate_Actions_Notices.txt. See Assumption A4.</t>
  </si>
  <si>
    <t xml:space="preserve">Lease ID</t>
  </si>
  <si>
    <t xml:space="preserve">Category</t>
  </si>
  <si>
    <t xml:space="preserve">Lessor</t>
  </si>
  <si>
    <t xml:space="preserve">Payment (native)</t>
  </si>
  <si>
    <t xml:space="preserve">Payment (USD)</t>
  </si>
  <si>
    <t xml:space="preserve">Annualized (USD)</t>
  </si>
  <si>
    <t xml:space="preserve">LEASE-NYC-M</t>
  </si>
  <si>
    <t xml:space="preserve">Office — NYC</t>
  </si>
  <si>
    <t xml:space="preserve">Bradford Realty Trust</t>
  </si>
  <si>
    <t xml:space="preserve">Ordinary fund opex, no dispute.</t>
  </si>
  <si>
    <t xml:space="preserve">LEASE-LA-M</t>
  </si>
  <si>
    <t xml:space="preserve">Office — LA</t>
  </si>
  <si>
    <t xml:space="preserve">Westside Property LLC</t>
  </si>
  <si>
    <t xml:space="preserve">LEASE-CMP-M</t>
  </si>
  <si>
    <t xml:space="preserve">IT — Managed cloud</t>
  </si>
  <si>
    <t xml:space="preserve">Northwind Systems Corp</t>
  </si>
  <si>
    <t xml:space="preserve">LEASE-CML-Q</t>
  </si>
  <si>
    <t xml:space="preserve">Content Library — Longwood catalog</t>
  </si>
  <si>
    <t xml:space="preserve">Longwood Music Trust</t>
  </si>
  <si>
    <t xml:space="preserve">DISPUTED treatment (FA: opex vs. entertainment-sleeve revenue; PM: investment cost of THIS sleeve). Adopted here per Assumption A4 — treated as an investment cost of the credit/derivatives sleeve, netted against the sub-licence royalty income it generates (see KPI_Summary).</t>
  </si>
  <si>
    <t xml:space="preserve">LEASE-CML-Q2</t>
  </si>
  <si>
    <t xml:space="preserve">Content Library — Greystone Bridge Film Library</t>
  </si>
  <si>
    <t xml:space="preserve">Greystone Media Holdings</t>
  </si>
  <si>
    <t xml:space="preserve">Smaller catalog; opex treatment AGREED (not disputed) — unrelated to Greystone Trust Bank despite the name.</t>
  </si>
  <si>
    <t xml:space="preserve">LEASE-JPY-Q</t>
  </si>
  <si>
    <t xml:space="preserve">Content Library (JPY) — Nishimura Anime Titles</t>
  </si>
  <si>
    <t xml:space="preserve">Nishimura Rights KK</t>
  </si>
  <si>
    <t xml:space="preserve">Payment in JPY, UNHEDGED — not mentioned in the Fund Overview memo or PM notes; folded into FX exposure for completeness. USD converted at YE spot 156.85 (inception assumption was $217,000/qtr).</t>
  </si>
  <si>
    <t xml:space="preserve">TOTAL ANNUALIZED LEASE COST</t>
  </si>
  <si>
    <t xml:space="preserve">Of which treated as a sleeve investment cost (Longwood + Nishimura, Assumption A4)</t>
  </si>
  <si>
    <t xml:space="preserve">LONGWOOD TRUE-UP, CY2025 (16_Corp Actions Notice 6)</t>
  </si>
  <si>
    <t xml:space="preserve">Gross sub-licence revenue, CY2025</t>
  </si>
  <si>
    <t xml:space="preserve">Base fixed quarterly payments, annualized</t>
  </si>
  <si>
    <t xml:space="preserve">Excess over base</t>
  </si>
  <si>
    <t xml:space="preserve">True-up rate</t>
  </si>
  <si>
    <t xml:space="preserve">True-up payable (accrue 31-Dec-25; cash 31-Mar-26)</t>
  </si>
  <si>
    <t xml:space="preserve">Q4-2025 Cash Ledger — Categorized &amp; Flagged Items</t>
  </si>
  <si>
    <t xml:space="preserve">Source: 12_Cash_Ledger_Q4_2025.csv (raw order preserved). Flags reproduce the ledger's own “CHECK” notes plus items resolved via Assumptions A1-A2.</t>
  </si>
  <si>
    <t xml:space="preserve">Value Date</t>
  </si>
  <si>
    <t xml:space="preserve">Description</t>
  </si>
  <si>
    <t xml:space="preserve">Amount (USD)</t>
  </si>
  <si>
    <t xml:space="preserve">Flag</t>
  </si>
  <si>
    <t xml:space="preserve">Resolution / Note</t>
  </si>
  <si>
    <t xml:space="preserve">2025-10-01</t>
  </si>
  <si>
    <t xml:space="preserve">Interest received - Lumivue unitranche Q3 coupon</t>
  </si>
  <si>
    <t xml:space="preserve">LOAN_INT_IN</t>
  </si>
  <si>
    <t xml:space="preserve">Ties to Loan_Book WTM-L-0005.</t>
  </si>
  <si>
    <t xml:space="preserve">Interest received - Prismrock Live Events Q3 coupon</t>
  </si>
  <si>
    <t xml:space="preserve">Ties to Loan_Book WTM-L-0004.</t>
  </si>
  <si>
    <t xml:space="preserve">2025-10-02</t>
  </si>
  <si>
    <t xml:space="preserve">Interest received - Solara Content Q3 coupon (drawn portion)</t>
  </si>
  <si>
    <t xml:space="preserve">Ties to Loan_Book WTM-L-0006 / Debt_Facilities.</t>
  </si>
  <si>
    <t xml:space="preserve">Unused facility fee Solara Q3</t>
  </si>
  <si>
    <t xml:space="preserve">LOAN_FEE_IN</t>
  </si>
  <si>
    <t xml:space="preserve">Ties to Debt_Facilities loan-level revolvers.</t>
  </si>
  <si>
    <t xml:space="preserve">2025-10-03</t>
  </si>
  <si>
    <t xml:space="preserve">Timberline Music Rights coupon Q3 (partial - transfer)</t>
  </si>
  <si>
    <t xml:space="preserve">Pre-transfer accrual, Beta-reported; consistent with Loan_Book A7 dedup.</t>
  </si>
  <si>
    <t xml:space="preserve">Emberlight Records monthly coupon Sep25</t>
  </si>
  <si>
    <t xml:space="preserve">Ties to Loan_Book WTM-L-0003.</t>
  </si>
  <si>
    <t xml:space="preserve">2025-10-04</t>
  </si>
  <si>
    <t xml:space="preserve">IRS payment received (net) Q3</t>
  </si>
  <si>
    <t xml:space="preserve">SWAP_NET</t>
  </si>
  <si>
    <t xml:space="preserve">EXCLUDED (A1)</t>
  </si>
  <si>
    <t xml:space="preserve">Ledger's own note: one of these two same-day entries is an error. Excluded from KPI cash flow per Assumption A1.</t>
  </si>
  <si>
    <t xml:space="preserve">IRS payment made (net) Q3</t>
  </si>
  <si>
    <t xml:space="preserve">ADOPTED (A1)</t>
  </si>
  <si>
    <t xml:space="preserve">Retained as the true Q3 net settlement — consistent with swap's negative YE mark. See IRS tab.</t>
  </si>
  <si>
    <t xml:space="preserve">2025-10-15</t>
  </si>
  <si>
    <t xml:space="preserve">Greystone revolver interest payment</t>
  </si>
  <si>
    <t xml:space="preserve">DEBT_INT_OUT</t>
  </si>
  <si>
    <t xml:space="preserve">Ties to Debt_Facilities Greystone section.</t>
  </si>
  <si>
    <t xml:space="preserve">Greystone revolver commitment fee Q3</t>
  </si>
  <si>
    <t xml:space="preserve">DEBT_FEE_OUT</t>
  </si>
  <si>
    <t xml:space="preserve">Ties to Debt_Facilities; used to back-solve implied undrawn balance.</t>
  </si>
  <si>
    <t xml:space="preserve">2025-10-31</t>
  </si>
  <si>
    <t xml:space="preserve">Content library lease payment - Longwood Music Trust</t>
  </si>
  <si>
    <t xml:space="preserve">LEASE_OUT</t>
  </si>
  <si>
    <t xml:space="preserve">Ties to Leases tab, LEASE-CML-Q; treatment per Assumption A4.</t>
  </si>
  <si>
    <t xml:space="preserve">2025-11-04</t>
  </si>
  <si>
    <t xml:space="preserve">Office lease payment - NYC</t>
  </si>
  <si>
    <t xml:space="preserve">Ordinary opex, ties to Leases.</t>
  </si>
  <si>
    <t xml:space="preserve">Office lease payment - LA</t>
  </si>
  <si>
    <t xml:space="preserve">Northwind Systems managed cloud lease Nov</t>
  </si>
  <si>
    <t xml:space="preserve">2025-11-10</t>
  </si>
  <si>
    <t xml:space="preserve">CDS premium payment - Orion protection Q3</t>
  </si>
  <si>
    <t xml:space="preserve">SWAP_PREM_OUT</t>
  </si>
  <si>
    <t xml:space="preserve">Confirms Fund PAYS the Orion premium — supports protection-BUYER direction, Assumption A2.</t>
  </si>
  <si>
    <t xml:space="preserve">CDS premium payment - Lumivue protection Q3</t>
  </si>
  <si>
    <t xml:space="preserve">Ties to CDS-0018, protection buyer.</t>
  </si>
  <si>
    <t xml:space="preserve">CDS premium received - Timberline Ent short protection Q3</t>
  </si>
  <si>
    <t xml:space="preserve">SWAP_PREM_IN</t>
  </si>
  <si>
    <t xml:space="preserve">Ties to CDS-0022, protection seller (income trade).</t>
  </si>
  <si>
    <t xml:space="preserve">2025-11-20</t>
  </si>
  <si>
    <t xml:space="preserve">Sub-license royalty received - streaming catalog</t>
  </si>
  <si>
    <t xml:space="preserve">ROYALTY_IN</t>
  </si>
  <si>
    <t xml:space="preserve">Pulled into sleeve yield per Assumption A4 (paired against Longwood lease cost).</t>
  </si>
  <si>
    <t xml:space="preserve">Sub-license royalty received - sync fees</t>
  </si>
  <si>
    <t xml:space="preserve">Pulled into sleeve yield per Assumption A4.</t>
  </si>
  <si>
    <t xml:space="preserve">2025-11-25</t>
  </si>
  <si>
    <t xml:space="preserve">FX Forward roll - GBP/USD (net cash on roll)</t>
  </si>
  <si>
    <t xml:space="preserve">FX_ROLL</t>
  </si>
  <si>
    <t xml:space="preserve">UNRESOLVED</t>
  </si>
  <si>
    <t xml:space="preserve">Ledger flags “CHECK sign.” Distinct from the $2,273,600 fixing-date settlement loss on FX_Forwards tab — likely a roll/points cost, not independently provable from the data given. Shown as-is, not re-signed.</t>
  </si>
  <si>
    <t xml:space="preserve">2025-12-01</t>
  </si>
  <si>
    <t xml:space="preserve">Bridge loan interest Greystone Bridge</t>
  </si>
  <si>
    <t xml:space="preserve">Ties to Loan_Book WTM-L-0012.</t>
  </si>
  <si>
    <t xml:space="preserve">2025-12-15</t>
  </si>
  <si>
    <t xml:space="preserve">Capital call #7 receipt from LPs</t>
  </si>
  <si>
    <t xml:space="preserve">LP_CAPITAL_IN</t>
  </si>
  <si>
    <t xml:space="preserve">Ties to LP_Capital tab, CC-2025-07.</t>
  </si>
  <si>
    <t xml:space="preserve">LP distribution paid</t>
  </si>
  <si>
    <t xml:space="preserve">LP_DIST_OUT</t>
  </si>
  <si>
    <t xml:space="preserve">Ties to LP_Capital tab, DIST-2025-04.</t>
  </si>
  <si>
    <t xml:space="preserve">Options premium received - EMBL calls sold</t>
  </si>
  <si>
    <t xml:space="preserve">OPT_PREM_IN</t>
  </si>
  <si>
    <t xml:space="preserve">Consistent w/ Options tab EMBL short call entry premium (800 × $1.10).</t>
  </si>
  <si>
    <t xml:space="preserve">Option exercise - LMVU call exercised (cash for shares)</t>
  </si>
  <si>
    <t xml:space="preserve">OPT_EX_OUT</t>
  </si>
  <si>
    <t xml:space="preserve">Ties to Options tab activity log — rolls into equity co-invest, excluded from options P&amp;L (A11).</t>
  </si>
  <si>
    <t xml:space="preserve">2025-12-31</t>
  </si>
  <si>
    <t xml:space="preserve">Ironbridge term loan interest H2</t>
  </si>
  <si>
    <t xml:space="preserve">Ties to Debt_Facilities Ironbridge section.</t>
  </si>
  <si>
    <t xml:space="preserve">Orion mezz Q4 coupon (NOT RECEIVED - accrued)</t>
  </si>
  <si>
    <t xml:space="preserve">LOAN_INT_ACCR</t>
  </si>
  <si>
    <t xml:space="preserve">Ties to Loan_Book WTM-L-0002 — $640,625 accrued, not cash; recognition-vs-cash gap.</t>
  </si>
  <si>
    <t xml:space="preserve">2025-09-28</t>
  </si>
  <si>
    <t xml:space="preserve">Cash settlement CDS Orion credit event</t>
  </si>
  <si>
    <t xml:space="preserve">SWAP_SETTLE</t>
  </si>
  <si>
    <t xml:space="preserve">BOOKED WITH LAG (A2)</t>
  </si>
  <si>
    <t xml:space="preserve">Value date 28-Sep-25 but booked 08-Jan-26 — direction assumed RECEIPT per Assumption A2; see CDS tab.</t>
  </si>
  <si>
    <t xml:space="preserve">Bank interest income on operating cash</t>
  </si>
  <si>
    <t xml:space="preserve">MISC_IN</t>
  </si>
  <si>
    <t xml:space="preserve">2025-10-05</t>
  </si>
  <si>
    <t xml:space="preserve">Management fee to GP - Q3</t>
  </si>
  <si>
    <t xml:space="preserve">GP_FEE_OUT</t>
  </si>
  <si>
    <t xml:space="preserve">1.5% p.a. on committed capital / 4, per LPA.</t>
  </si>
  <si>
    <t xml:space="preserve">2025-12-05</t>
  </si>
  <si>
    <t xml:space="preserve">Management fee to GP - Q4</t>
  </si>
  <si>
    <t xml:space="preserve">Fund audit fee - Whitfield Hale 2025</t>
  </si>
  <si>
    <t xml:space="preserve">ADMIN_OUT</t>
  </si>
  <si>
    <t xml:space="preserve">Fund administrator fee Q4</t>
  </si>
  <si>
    <t xml:space="preserve">2025-11-30</t>
  </si>
  <si>
    <t xml:space="preserve">LP capital call refund - Cayman feeder over-called Q3</t>
  </si>
  <si>
    <t xml:space="preserve">LP_CAPITAL_OUT</t>
  </si>
  <si>
    <t xml:space="preserve">Ties to LP_Capital tab, CC-2025-06R.</t>
  </si>
  <si>
    <t xml:space="preserve">NET CASH MOVEMENT, Q4-25 (excluding excluded/duplicate entry)</t>
  </si>
  <si>
    <t xml:space="preserve">Greystone Covenant — Single-Name Concentration Test (Orion Studios Holdings LLC)</t>
  </si>
  <si>
    <t xml:space="preserve">Sources: 02_Greystone_Facility_Agreement_Excerpt.txt §6.02, 16_Corporate_Actions_Notices.txt Notice 5, 15_Counterparty_Exposure_Snapshot.csv. See Assumption A5.</t>
  </si>
  <si>
    <t xml:space="preserve">COVENANT (02_Facility Agmt §6.02(i))</t>
  </si>
  <si>
    <t xml:space="preserve">Fund Total NAV (estimated, pending audit)</t>
  </si>
  <si>
    <t xml:space="preserve">Single-name concentration limit</t>
  </si>
  <si>
    <t xml:space="preserve">Limit in USD</t>
  </si>
  <si>
    <t xml:space="preserve">ORION EXPOSURE COMPONENTS</t>
  </si>
  <si>
    <t xml:space="preserve">Component</t>
  </si>
  <si>
    <t xml:space="preserve">At Par / Full Notional</t>
  </si>
  <si>
    <t xml:space="preserve">At Recovery-Adjusted (A5)</t>
  </si>
  <si>
    <t xml:space="preserve">Senior loan (WTM-L-0001)</t>
  </si>
  <si>
    <t xml:space="preserve">Loan_Book — money-good, no adjustment.</t>
  </si>
  <si>
    <t xml:space="preserve">Mezz loan (WTM-L-0002)</t>
  </si>
  <si>
    <t xml:space="preserve">Loan_Book / CDS tab — recovery mark = 42.25% × face per Assumption A5.</t>
  </si>
  <si>
    <t xml:space="preserve">Revolver draw (BLA-0128)</t>
  </si>
  <si>
    <t xml:space="preserve">Loan_Book.</t>
  </si>
  <si>
    <t xml:space="preserve">Long CDS protection (netted — same obligor)</t>
  </si>
  <si>
    <t xml:space="preserve">CDS tab — netting permitted under §6.02 since Reference Entity = loan obligor, same legal entity.</t>
  </si>
  <si>
    <t xml:space="preserve">Long put options (equity, small)</t>
  </si>
  <si>
    <t xml:space="preserve">Options tab context (500 ORNX puts × 100 × $7.50 notional).</t>
  </si>
  <si>
    <t xml:space="preserve">Short call options (equity, small)</t>
  </si>
  <si>
    <t xml:space="preserve">Options tab context (500 ORNX calls × 100 × $12.00 notional).</t>
  </si>
  <si>
    <t xml:space="preserve">RESULT</t>
  </si>
  <si>
    <t xml:space="preserve">Total exposure — mezz AT PAR, CDS netted</t>
  </si>
  <si>
    <t xml:space="preserve">Total exposure — mezz AT RECOVERY (A5), CDS netted</t>
  </si>
  <si>
    <t xml:space="preserve">Total exposure — mezz AT PAR, CDS NOT netted (position treated as closed)</t>
  </si>
  <si>
    <t xml:space="preserve">The compliance outcome hinges entirely on how the restructured mezz is carried and whether the CDS position (now closed post-settlement) still qualifies for netting. Recovery-adjusted mezz + CDS netting (row 2, our recommended treatment per Assumption A5) brings the Fund UNDER the 12.5% limit. At-par mezz without CDS netting (row 3, since the CDS position technically closed on settlement and Article 6.02 netting language contemplates a live protection position) pushes the Fund OVER. Greystone's own covenant notice (16_Corp Actions Notice 5) shows the same range of outcomes and records a 30-day standstill pending resolution — this is a genuine open item, not a modeling error, and is presented here as a scenario range rather than a single answer. NOTE: our recovery-adjusted total ($41,287,500) does not exactly match the figure in Greystone's own covenant notice for the equivalent scenario ($44,306,000) — the components listed in that notice do not foot to its own stated total either; treat both as approximate pending the agent's formal resolution.</t>
  </si>
  <si>
    <t xml:space="preserve">LP Capital Calls &amp; Distributions — Summary</t>
  </si>
  <si>
    <t xml:space="preserve">Source: 13_LP_Capital_Calls_and_Distributions.txt</t>
  </si>
  <si>
    <t xml:space="preserve">CAPITAL CALLS</t>
  </si>
  <si>
    <t xml:space="preserve">Notice</t>
  </si>
  <si>
    <t xml:space="preserve">Purpose / Note</t>
  </si>
  <si>
    <t xml:space="preserve">CC-2024-01</t>
  </si>
  <si>
    <t xml:space="preserve">2024-02-20</t>
  </si>
  <si>
    <t xml:space="preserve">Initial deployment and working capital.</t>
  </si>
  <si>
    <t xml:space="preserve">CC-2024-02</t>
  </si>
  <si>
    <t xml:space="preserve">2024-05-15</t>
  </si>
  <si>
    <t xml:space="preserve">Orion Studios term loan, Emberlight Records origination.</t>
  </si>
  <si>
    <t xml:space="preserve">CC-2024-03</t>
  </si>
  <si>
    <t xml:space="preserve">2024-09-20</t>
  </si>
  <si>
    <t xml:space="preserve">Lumivue unitranche funding.</t>
  </si>
  <si>
    <t xml:space="preserve">CC-2025-01</t>
  </si>
  <si>
    <t xml:space="preserve">2025-01-15</t>
  </si>
  <si>
    <t xml:space="preserve">General deployment.</t>
  </si>
  <si>
    <t xml:space="preserve">CC-2025-02</t>
  </si>
  <si>
    <t xml:space="preserve">2025-04-25</t>
  </si>
  <si>
    <t xml:space="preserve">Frostgate (GBP), Ridgeline Post-Production. GBP-electing LPs booked at call-date spot (1.2870) vs. committed reference rate (1.24), producing an unresolved ~$203,980 fx-adjustment delta (flagged in memo, not yet reclassified).</t>
  </si>
  <si>
    <t xml:space="preserve">CC-2025-03</t>
  </si>
  <si>
    <t xml:space="preserve">2025-06-10</t>
  </si>
  <si>
    <t xml:space="preserve">Haruki Anime co-production loan; JPY option offered but not elected.</t>
  </si>
  <si>
    <t xml:space="preserve">CC-2025-06</t>
  </si>
  <si>
    <t xml:space="preserve">2025-08-05</t>
  </si>
  <si>
    <t xml:space="preserve">Timberline Music Rights, various derivative margin. OVER-CALLED by $3,200,000, refunded 30-Nov-25 (CC-2025-06R).</t>
  </si>
  <si>
    <t xml:space="preserve">CC-2025-07</t>
  </si>
  <si>
    <t xml:space="preserve">Working capital, opportunistic.</t>
  </si>
  <si>
    <t xml:space="preserve">CC-2025-06R (refund)</t>
  </si>
  <si>
    <t xml:space="preserve">Over-call adjustment refund.</t>
  </si>
  <si>
    <t xml:space="preserve">NET CAPITAL CALLED</t>
  </si>
  <si>
    <t xml:space="preserve">DISTRIBUTIONS</t>
  </si>
  <si>
    <t xml:space="preserve">Character</t>
  </si>
  <si>
    <t xml:space="preserve">DIST-2024-01</t>
  </si>
  <si>
    <t xml:space="preserve">2024-09-30</t>
  </si>
  <si>
    <t xml:space="preserve">Income — 100% to LPs, preferred return not yet reached.</t>
  </si>
  <si>
    <t xml:space="preserve">DIST-2025-01</t>
  </si>
  <si>
    <t xml:space="preserve">2025-03-31</t>
  </si>
  <si>
    <t xml:space="preserve">Income (loan coupons).</t>
  </si>
  <si>
    <t xml:space="preserve">DIST-2025-02</t>
  </si>
  <si>
    <t xml:space="preserve">2025-06-30</t>
  </si>
  <si>
    <t xml:space="preserve">Income.</t>
  </si>
  <si>
    <t xml:space="preserve">DIST-2025-03</t>
  </si>
  <si>
    <t xml:space="preserve">2025-09-30</t>
  </si>
  <si>
    <t xml:space="preserve">Income (~$9.0mm) + return of capital (~$2.75mm).</t>
  </si>
  <si>
    <t xml:space="preserve">DIST-2025-04</t>
  </si>
  <si>
    <t xml:space="preserve">Income (~$9.0mm) + ROC (~$3.5mm) + CDS settlement gain (~$2.5mm) — ties to Orion settlement on CDS tab.</t>
  </si>
  <si>
    <t xml:space="preserve">TOTAL DISTRIBUTED</t>
  </si>
  <si>
    <t xml:space="preserve">Preferred return (7% simple on paid-in) fully paid?</t>
  </si>
  <si>
    <t xml:space="preserve">No — per IR compilation; no carry paid to date.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</si>
</sst>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%;\(0.00%\);\-"/>
    <numFmt numFmtId="167" formatCode="#,##0"/>
    <numFmt numFmtId="168" formatCode="0.0000"/>
    <numFmt numFmtId="169" formatCode="0.00"/>
    <numFmt numFmtId="170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8CBAD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4" min="3" style="0" width="46"/>
    <col collapsed="false" customWidth="true" hidden="false" outlineLevel="0" max="5" min="5" style="0" width="26"/>
    <col collapsed="false" customWidth="true" hidden="false" outlineLevel="0" max="6" min="6" style="0" width="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9.75" hidden="false" customHeight="true" outlineLevel="0" collapsed="false">
      <c r="B4" s="3" t="s">
        <v>2</v>
      </c>
      <c r="C4" s="4" t="s">
        <v>3</v>
      </c>
      <c r="D4" s="4"/>
      <c r="E4" s="4"/>
    </row>
    <row r="5" customFormat="false" ht="39.75" hidden="false" customHeight="true" outlineLevel="0" collapsed="false">
      <c r="B5" s="3" t="s">
        <v>4</v>
      </c>
      <c r="C5" s="4" t="s">
        <v>5</v>
      </c>
      <c r="D5" s="4"/>
      <c r="E5" s="4"/>
    </row>
    <row r="7" customFormat="false" ht="15" hidden="false" customHeight="false" outlineLevel="0" collapsed="false">
      <c r="B7" s="5" t="s">
        <v>6</v>
      </c>
      <c r="C7" s="5"/>
      <c r="D7" s="5"/>
      <c r="E7" s="5"/>
    </row>
    <row r="8" customFormat="false" ht="57.45" hidden="false" customHeight="false" outlineLevel="0" collapsed="false"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</row>
    <row r="9" customFormat="false" ht="60" hidden="false" customHeight="true" outlineLevel="0" collapsed="false">
      <c r="B9" s="7" t="s">
        <v>12</v>
      </c>
      <c r="C9" s="8" t="s">
        <v>13</v>
      </c>
      <c r="D9" s="8" t="s">
        <v>14</v>
      </c>
      <c r="E9" s="8" t="s">
        <v>15</v>
      </c>
      <c r="F9" s="8" t="s">
        <v>16</v>
      </c>
    </row>
    <row r="10" customFormat="false" ht="60" hidden="false" customHeight="true" outlineLevel="0" collapsed="false">
      <c r="B10" s="7" t="s">
        <v>17</v>
      </c>
      <c r="C10" s="8" t="s">
        <v>18</v>
      </c>
      <c r="D10" s="8" t="s">
        <v>19</v>
      </c>
      <c r="E10" s="8" t="s">
        <v>20</v>
      </c>
      <c r="F10" s="8" t="s">
        <v>21</v>
      </c>
    </row>
    <row r="11" customFormat="false" ht="60" hidden="false" customHeight="true" outlineLevel="0" collapsed="false">
      <c r="B11" s="7" t="s">
        <v>22</v>
      </c>
      <c r="C11" s="8" t="s">
        <v>23</v>
      </c>
      <c r="D11" s="8" t="s">
        <v>24</v>
      </c>
      <c r="E11" s="8" t="s">
        <v>25</v>
      </c>
      <c r="F11" s="8" t="s">
        <v>26</v>
      </c>
    </row>
    <row r="12" customFormat="false" ht="60" hidden="false" customHeight="true" outlineLevel="0" collapsed="false">
      <c r="B12" s="7" t="s">
        <v>27</v>
      </c>
      <c r="C12" s="8" t="s">
        <v>28</v>
      </c>
      <c r="D12" s="8" t="s">
        <v>29</v>
      </c>
      <c r="E12" s="8" t="s">
        <v>30</v>
      </c>
      <c r="F12" s="8" t="s">
        <v>31</v>
      </c>
    </row>
    <row r="13" customFormat="false" ht="60" hidden="false" customHeight="true" outlineLevel="0" collapsed="false">
      <c r="B13" s="7" t="s">
        <v>32</v>
      </c>
      <c r="C13" s="8" t="s">
        <v>33</v>
      </c>
      <c r="D13" s="8" t="s">
        <v>34</v>
      </c>
      <c r="E13" s="8" t="s">
        <v>35</v>
      </c>
      <c r="F13" s="8" t="s">
        <v>36</v>
      </c>
    </row>
    <row r="14" customFormat="false" ht="60" hidden="false" customHeight="true" outlineLevel="0" collapsed="false">
      <c r="B14" s="7" t="s">
        <v>37</v>
      </c>
      <c r="C14" s="8" t="s">
        <v>38</v>
      </c>
      <c r="D14" s="8" t="s">
        <v>39</v>
      </c>
      <c r="E14" s="8" t="s">
        <v>40</v>
      </c>
      <c r="F14" s="8" t="s">
        <v>26</v>
      </c>
    </row>
    <row r="15" customFormat="false" ht="60" hidden="false" customHeight="true" outlineLevel="0" collapsed="false">
      <c r="B15" s="7" t="s">
        <v>41</v>
      </c>
      <c r="C15" s="8" t="s">
        <v>42</v>
      </c>
      <c r="D15" s="8" t="s">
        <v>43</v>
      </c>
      <c r="E15" s="8" t="s">
        <v>44</v>
      </c>
      <c r="F15" s="8" t="s">
        <v>45</v>
      </c>
    </row>
    <row r="16" customFormat="false" ht="60" hidden="false" customHeight="true" outlineLevel="0" collapsed="false">
      <c r="B16" s="7" t="s">
        <v>46</v>
      </c>
      <c r="C16" s="8" t="s">
        <v>47</v>
      </c>
      <c r="D16" s="8" t="s">
        <v>48</v>
      </c>
      <c r="E16" s="8" t="s">
        <v>49</v>
      </c>
      <c r="F16" s="8" t="s">
        <v>45</v>
      </c>
    </row>
    <row r="17" customFormat="false" ht="60" hidden="false" customHeight="true" outlineLevel="0" collapsed="false">
      <c r="B17" s="7" t="s">
        <v>50</v>
      </c>
      <c r="C17" s="8" t="s">
        <v>51</v>
      </c>
      <c r="D17" s="8" t="s">
        <v>52</v>
      </c>
      <c r="E17" s="8" t="s">
        <v>53</v>
      </c>
      <c r="F17" s="8" t="s">
        <v>54</v>
      </c>
    </row>
    <row r="18" customFormat="false" ht="60" hidden="false" customHeight="true" outlineLevel="0" collapsed="false">
      <c r="B18" s="7" t="s">
        <v>55</v>
      </c>
      <c r="C18" s="8" t="s">
        <v>56</v>
      </c>
      <c r="D18" s="8" t="s">
        <v>57</v>
      </c>
      <c r="E18" s="8" t="s">
        <v>58</v>
      </c>
      <c r="F18" s="8" t="s">
        <v>59</v>
      </c>
    </row>
    <row r="19" customFormat="false" ht="60" hidden="false" customHeight="true" outlineLevel="0" collapsed="false">
      <c r="B19" s="7" t="s">
        <v>60</v>
      </c>
      <c r="C19" s="8" t="s">
        <v>61</v>
      </c>
      <c r="D19" s="8" t="s">
        <v>62</v>
      </c>
      <c r="E19" s="8" t="s">
        <v>63</v>
      </c>
      <c r="F19" s="8" t="s">
        <v>59</v>
      </c>
    </row>
    <row r="20" customFormat="false" ht="60" hidden="false" customHeight="true" outlineLevel="0" collapsed="false">
      <c r="B20" s="7" t="s">
        <v>64</v>
      </c>
      <c r="C20" s="8" t="s">
        <v>65</v>
      </c>
      <c r="D20" s="8" t="s">
        <v>66</v>
      </c>
      <c r="E20" s="8" t="s">
        <v>67</v>
      </c>
      <c r="F20" s="8" t="s">
        <v>68</v>
      </c>
    </row>
    <row r="21" customFormat="false" ht="60" hidden="false" customHeight="true" outlineLevel="0" collapsed="false">
      <c r="B21" s="7" t="s">
        <v>69</v>
      </c>
      <c r="C21" s="8" t="s">
        <v>70</v>
      </c>
      <c r="D21" s="8" t="s">
        <v>71</v>
      </c>
      <c r="E21" s="8" t="s">
        <v>72</v>
      </c>
      <c r="F21" s="8" t="s">
        <v>73</v>
      </c>
    </row>
    <row r="22" customFormat="false" ht="60" hidden="false" customHeight="true" outlineLevel="0" collapsed="false">
      <c r="B22" s="7" t="s">
        <v>74</v>
      </c>
      <c r="C22" s="8" t="s">
        <v>75</v>
      </c>
      <c r="D22" s="8" t="s">
        <v>76</v>
      </c>
      <c r="E22" s="8" t="s">
        <v>77</v>
      </c>
      <c r="F22" s="8" t="s">
        <v>78</v>
      </c>
    </row>
    <row r="24" customFormat="false" ht="15" hidden="false" customHeight="false" outlineLevel="0" collapsed="false">
      <c r="B24" s="9" t="s">
        <v>79</v>
      </c>
    </row>
    <row r="25" customFormat="false" ht="15" hidden="false" customHeight="false" outlineLevel="0" collapsed="false">
      <c r="B25" s="10" t="s">
        <v>80</v>
      </c>
    </row>
    <row r="26" customFormat="false" ht="15" hidden="false" customHeight="false" outlineLevel="0" collapsed="false">
      <c r="B26" s="11" t="s">
        <v>81</v>
      </c>
    </row>
    <row r="27" customFormat="false" ht="15" hidden="false" customHeight="false" outlineLevel="0" collapsed="false">
      <c r="B27" s="12" t="s">
        <v>82</v>
      </c>
    </row>
    <row r="28" customFormat="false" ht="15" hidden="false" customHeight="false" outlineLevel="0" collapsed="false">
      <c r="B28" s="13" t="s">
        <v>83</v>
      </c>
    </row>
  </sheetData>
  <mergeCells count="5">
    <mergeCell ref="A1:F1"/>
    <mergeCell ref="A2:F2"/>
    <mergeCell ref="C4:E4"/>
    <mergeCell ref="C5:E5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6" min="5" style="0" width="6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85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86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14" t="s">
        <v>87</v>
      </c>
      <c r="B5" s="15" t="n">
        <f aca="false">Loan_Book!$J$27</f>
        <v>11395308</v>
      </c>
      <c r="C5" s="16"/>
      <c r="D5" s="16"/>
      <c r="E5" s="16"/>
      <c r="F5" s="16"/>
    </row>
    <row r="6" customFormat="false" ht="15" hidden="false" customHeight="false" outlineLevel="0" collapsed="false">
      <c r="A6" s="14" t="s">
        <v>88</v>
      </c>
      <c r="B6" s="15" t="n">
        <f aca="false">Loan_Book!$K$27</f>
        <v>12398058</v>
      </c>
      <c r="C6" s="16"/>
      <c r="D6" s="16"/>
      <c r="E6" s="16"/>
      <c r="F6" s="16"/>
    </row>
    <row r="7" customFormat="false" ht="15" hidden="false" customHeight="false" outlineLevel="0" collapsed="false">
      <c r="A7" s="14" t="s">
        <v>89</v>
      </c>
      <c r="B7" s="15" t="n">
        <f aca="false">Cash_Recon!$D$22+Cash_Recon!$D$23</f>
        <v>1195000</v>
      </c>
      <c r="C7" s="16"/>
      <c r="D7" s="16"/>
      <c r="E7" s="16"/>
      <c r="F7" s="16"/>
    </row>
    <row r="8" customFormat="false" ht="15" hidden="false" customHeight="false" outlineLevel="0" collapsed="false">
      <c r="A8" s="14" t="s">
        <v>90</v>
      </c>
      <c r="B8" s="15" t="n">
        <f aca="false">-Leases!$G$12/4</f>
        <v>-657205</v>
      </c>
      <c r="C8" s="16"/>
      <c r="D8" s="16"/>
      <c r="E8" s="16"/>
      <c r="F8" s="16"/>
    </row>
    <row r="9" customFormat="false" ht="15" hidden="false" customHeight="false" outlineLevel="0" collapsed="false">
      <c r="A9" s="14" t="s">
        <v>91</v>
      </c>
      <c r="B9" s="15" t="n">
        <f aca="false">SUM(CDS!$G$5:$G$7)</f>
        <v>-27500</v>
      </c>
      <c r="C9" s="16"/>
      <c r="D9" s="16"/>
      <c r="E9" s="16"/>
      <c r="F9" s="16"/>
    </row>
    <row r="10" customFormat="false" ht="15" hidden="false" customHeight="false" outlineLevel="0" collapsed="false">
      <c r="A10" s="14" t="s">
        <v>92</v>
      </c>
      <c r="B10" s="17" t="n">
        <f aca="false">B5+B6+B7+B8+B9</f>
        <v>24303661</v>
      </c>
      <c r="C10" s="16"/>
      <c r="D10" s="16"/>
      <c r="E10" s="16"/>
      <c r="F10" s="16"/>
    </row>
    <row r="11" customFormat="false" ht="15" hidden="false" customHeight="false" outlineLevel="0" collapsed="false">
      <c r="A11" s="14" t="s">
        <v>93</v>
      </c>
      <c r="B11" s="15" t="n">
        <f aca="false">Loan_Book!$G$27</f>
        <v>478017000</v>
      </c>
      <c r="C11" s="16"/>
      <c r="D11" s="16"/>
      <c r="E11" s="16"/>
      <c r="F11" s="16"/>
    </row>
    <row r="12" customFormat="false" ht="15" hidden="false" customHeight="false" outlineLevel="0" collapsed="false">
      <c r="A12" s="18" t="s">
        <v>94</v>
      </c>
      <c r="B12" s="19" t="n">
        <f aca="false">(B10*4)/B11</f>
        <v>0.203370683469416</v>
      </c>
      <c r="C12" s="16"/>
      <c r="D12" s="16"/>
      <c r="E12" s="16"/>
      <c r="F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</row>
    <row r="14" customFormat="false" ht="15" hidden="false" customHeight="false" outlineLevel="0" collapsed="false">
      <c r="A14" s="18" t="s">
        <v>95</v>
      </c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14" t="s">
        <v>96</v>
      </c>
      <c r="B15" s="15" t="n">
        <f aca="false">Debt_Facilities!$D$10</f>
        <v>-5250000</v>
      </c>
      <c r="C15" s="16"/>
      <c r="D15" s="16"/>
      <c r="E15" s="16"/>
      <c r="F15" s="16"/>
    </row>
    <row r="16" customFormat="false" ht="15" hidden="false" customHeight="false" outlineLevel="0" collapsed="false">
      <c r="A16" s="14" t="s">
        <v>97</v>
      </c>
      <c r="B16" s="15" t="n">
        <f aca="false">Debt_Facilities!$D$11</f>
        <v>-93750</v>
      </c>
      <c r="C16" s="16"/>
      <c r="D16" s="16"/>
      <c r="E16" s="16"/>
      <c r="F16" s="16"/>
    </row>
    <row r="17" customFormat="false" ht="15" hidden="false" customHeight="false" outlineLevel="0" collapsed="false">
      <c r="A17" s="14" t="s">
        <v>98</v>
      </c>
      <c r="B17" s="15" t="n">
        <f aca="false">Debt_Facilities!$D$20</f>
        <v>-8250000</v>
      </c>
      <c r="C17" s="16"/>
      <c r="D17" s="16"/>
      <c r="E17" s="16"/>
      <c r="F17" s="16"/>
    </row>
    <row r="18" customFormat="false" ht="15" hidden="false" customHeight="false" outlineLevel="0" collapsed="false">
      <c r="A18" s="14" t="s">
        <v>99</v>
      </c>
      <c r="B18" s="15" t="n">
        <f aca="false">IRS!$B$26</f>
        <v>-1725000</v>
      </c>
      <c r="C18" s="16"/>
      <c r="D18" s="16"/>
      <c r="E18" s="16"/>
      <c r="F18" s="16"/>
    </row>
    <row r="19" customFormat="false" ht="15" hidden="false" customHeight="false" outlineLevel="0" collapsed="false">
      <c r="A19" s="18" t="s">
        <v>100</v>
      </c>
      <c r="B19" s="17" t="n">
        <f aca="false">SUM(B15:B18)</f>
        <v>-15318750</v>
      </c>
      <c r="C19" s="16"/>
      <c r="D19" s="16"/>
      <c r="E19" s="16"/>
      <c r="F19" s="16"/>
    </row>
    <row r="20" customFormat="false" ht="15" hidden="false" customHeight="false" outlineLevel="0" collapsed="false">
      <c r="A20" s="18" t="s">
        <v>101</v>
      </c>
      <c r="B20" s="20" t="n">
        <f aca="false">B10+B19</f>
        <v>8984911</v>
      </c>
      <c r="C20" s="16"/>
      <c r="D20" s="16"/>
      <c r="E20" s="16"/>
      <c r="F20" s="16"/>
    </row>
    <row r="21" customFormat="false" ht="54.75" hidden="false" customHeight="true" outlineLevel="0" collapsed="false">
      <c r="A21" s="21" t="s">
        <v>102</v>
      </c>
      <c r="B21" s="21"/>
      <c r="C21" s="21"/>
      <c r="D21" s="21"/>
      <c r="E21" s="21"/>
      <c r="F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22" t="s">
        <v>103</v>
      </c>
      <c r="B25" s="22"/>
      <c r="C25" s="22"/>
      <c r="D25" s="22"/>
      <c r="E25" s="22"/>
      <c r="F25" s="22"/>
    </row>
    <row r="26" customFormat="false" ht="23.85" hidden="false" customHeight="false" outlineLevel="0" collapsed="false">
      <c r="A26" s="6" t="s">
        <v>104</v>
      </c>
      <c r="B26" s="6" t="s">
        <v>105</v>
      </c>
      <c r="C26" s="6" t="s">
        <v>106</v>
      </c>
      <c r="D26" s="16"/>
      <c r="E26" s="16"/>
      <c r="F26" s="16"/>
    </row>
    <row r="27" customFormat="false" ht="54.75" hidden="false" customHeight="true" outlineLevel="0" collapsed="false">
      <c r="A27" s="14" t="s">
        <v>107</v>
      </c>
      <c r="B27" s="23" t="s">
        <v>108</v>
      </c>
      <c r="C27" s="21" t="s">
        <v>109</v>
      </c>
      <c r="D27" s="21"/>
      <c r="E27" s="21"/>
      <c r="F27" s="21"/>
    </row>
    <row r="28" customFormat="false" ht="54.75" hidden="false" customHeight="true" outlineLevel="0" collapsed="false">
      <c r="A28" s="14" t="s">
        <v>110</v>
      </c>
      <c r="B28" s="24" t="s">
        <v>111</v>
      </c>
      <c r="C28" s="21" t="s">
        <v>112</v>
      </c>
      <c r="D28" s="21"/>
      <c r="E28" s="21"/>
      <c r="F28" s="21"/>
    </row>
    <row r="29" customFormat="false" ht="54.75" hidden="false" customHeight="true" outlineLevel="0" collapsed="false">
      <c r="A29" s="14" t="s">
        <v>113</v>
      </c>
      <c r="B29" s="24" t="s">
        <v>114</v>
      </c>
      <c r="C29" s="21" t="s">
        <v>115</v>
      </c>
      <c r="D29" s="21"/>
      <c r="E29" s="21"/>
      <c r="F29" s="21"/>
    </row>
    <row r="30" customFormat="false" ht="54.75" hidden="false" customHeight="true" outlineLevel="0" collapsed="false">
      <c r="A30" s="14" t="s">
        <v>116</v>
      </c>
      <c r="B30" s="25" t="s">
        <v>117</v>
      </c>
      <c r="C30" s="21" t="s">
        <v>118</v>
      </c>
      <c r="D30" s="21"/>
      <c r="E30" s="21"/>
      <c r="F30" s="21"/>
    </row>
    <row r="31" customFormat="false" ht="54.75" hidden="false" customHeight="true" outlineLevel="0" collapsed="false">
      <c r="A31" s="14" t="s">
        <v>119</v>
      </c>
      <c r="B31" s="26" t="s">
        <v>120</v>
      </c>
      <c r="C31" s="21" t="s">
        <v>121</v>
      </c>
      <c r="D31" s="21"/>
      <c r="E31" s="21"/>
      <c r="F31" s="21"/>
    </row>
    <row r="32" customFormat="false" ht="54.75" hidden="false" customHeight="true" outlineLevel="0" collapsed="false">
      <c r="A32" s="14" t="s">
        <v>122</v>
      </c>
      <c r="B32" s="23" t="s">
        <v>123</v>
      </c>
      <c r="C32" s="21" t="s">
        <v>124</v>
      </c>
      <c r="D32" s="21"/>
      <c r="E32" s="21"/>
      <c r="F32" s="21"/>
    </row>
    <row r="33" customFormat="false" ht="54.75" hidden="false" customHeight="true" outlineLevel="0" collapsed="false">
      <c r="A33" s="14" t="s">
        <v>125</v>
      </c>
      <c r="B33" s="25" t="s">
        <v>126</v>
      </c>
      <c r="C33" s="21" t="s">
        <v>127</v>
      </c>
      <c r="D33" s="21"/>
      <c r="E33" s="21"/>
      <c r="F33" s="21"/>
    </row>
    <row r="34" customFormat="false" ht="54.75" hidden="false" customHeight="true" outlineLevel="0" collapsed="false">
      <c r="A34" s="14" t="s">
        <v>128</v>
      </c>
      <c r="B34" s="25" t="s">
        <v>129</v>
      </c>
      <c r="C34" s="21" t="s">
        <v>130</v>
      </c>
      <c r="D34" s="21"/>
      <c r="E34" s="21"/>
      <c r="F34" s="21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</row>
    <row r="37" customFormat="false" ht="15" hidden="false" customHeight="false" outlineLevel="0" collapsed="false">
      <c r="A37" s="22" t="s">
        <v>131</v>
      </c>
      <c r="B37" s="22"/>
      <c r="C37" s="22"/>
      <c r="D37" s="22"/>
      <c r="E37" s="22"/>
      <c r="F37" s="22"/>
    </row>
    <row r="38" customFormat="false" ht="15" hidden="false" customHeight="false" outlineLevel="0" collapsed="false">
      <c r="A38" s="14" t="s">
        <v>132</v>
      </c>
      <c r="B38" s="15" t="n">
        <f aca="false">Concentration_Test!$B$20</f>
        <v>41287500</v>
      </c>
      <c r="C38" s="16"/>
      <c r="D38" s="16"/>
      <c r="E38" s="16"/>
      <c r="F38" s="16"/>
    </row>
    <row r="39" customFormat="false" ht="15" hidden="false" customHeight="false" outlineLevel="0" collapsed="false">
      <c r="A39" s="14" t="s">
        <v>133</v>
      </c>
      <c r="B39" s="15" t="n">
        <f aca="false">Concentration_Test!$B$7</f>
        <v>48125000</v>
      </c>
      <c r="C39" s="16"/>
      <c r="D39" s="16"/>
      <c r="E39" s="16"/>
      <c r="F39" s="16"/>
    </row>
    <row r="40" customFormat="false" ht="15" hidden="false" customHeight="false" outlineLevel="0" collapsed="false">
      <c r="A40" s="18" t="s">
        <v>134</v>
      </c>
      <c r="B40" s="17" t="n">
        <f aca="false">B39-B38</f>
        <v>6837500</v>
      </c>
      <c r="C40" s="16"/>
      <c r="D40" s="16"/>
      <c r="E40" s="16"/>
      <c r="F40" s="16"/>
    </row>
    <row r="41" customFormat="false" ht="15" hidden="false" customHeight="false" outlineLevel="0" collapsed="false">
      <c r="A41" s="18" t="s">
        <v>135</v>
      </c>
      <c r="B41" s="27" t="str">
        <f aca="false">IF(B38&lt;=B39,"UNDER LIMIT","OVER LIMIT — breach")</f>
        <v>UNDER LIMIT</v>
      </c>
      <c r="C41" s="16"/>
      <c r="D41" s="16"/>
      <c r="E41" s="16"/>
      <c r="F41" s="16"/>
    </row>
    <row r="42" customFormat="false" ht="45" hidden="false" customHeight="true" outlineLevel="0" collapsed="false">
      <c r="A42" s="21" t="s">
        <v>136</v>
      </c>
      <c r="B42" s="21"/>
      <c r="C42" s="21"/>
      <c r="D42" s="21"/>
      <c r="E42" s="21"/>
      <c r="F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</row>
    <row r="46" customFormat="false" ht="15" hidden="false" customHeight="false" outlineLevel="0" collapsed="false">
      <c r="A46" s="22" t="s">
        <v>137</v>
      </c>
      <c r="B46" s="22"/>
      <c r="C46" s="22"/>
      <c r="D46" s="22"/>
      <c r="E46" s="22"/>
      <c r="F46" s="22"/>
    </row>
    <row r="47" customFormat="false" ht="57.45" hidden="false" customHeight="false" outlineLevel="0" collapsed="false">
      <c r="A47" s="6" t="s">
        <v>138</v>
      </c>
      <c r="B47" s="6" t="s">
        <v>139</v>
      </c>
      <c r="C47" s="6" t="s">
        <v>140</v>
      </c>
      <c r="D47" s="6" t="s">
        <v>141</v>
      </c>
      <c r="E47" s="6" t="s">
        <v>142</v>
      </c>
      <c r="F47" s="16"/>
    </row>
    <row r="48" customFormat="false" ht="39.75" hidden="false" customHeight="true" outlineLevel="0" collapsed="false">
      <c r="A48" s="14" t="s">
        <v>143</v>
      </c>
      <c r="B48" s="15" t="n">
        <f aca="false">Loan_Book!$K$27</f>
        <v>12398058</v>
      </c>
      <c r="C48" s="15" t="n">
        <f aca="false">Loan_Book!$J$27</f>
        <v>11395308</v>
      </c>
      <c r="D48" s="17" t="n">
        <f aca="false">B48-C48</f>
        <v>1002750</v>
      </c>
      <c r="E48" s="21" t="s">
        <v>144</v>
      </c>
      <c r="F48" s="16"/>
    </row>
    <row r="49" customFormat="false" ht="39.75" hidden="false" customHeight="true" outlineLevel="0" collapsed="false">
      <c r="A49" s="14" t="s">
        <v>145</v>
      </c>
      <c r="B49" s="15" t="n">
        <f aca="false">CDS!$B$13</f>
        <v>14437500</v>
      </c>
      <c r="C49" s="15" t="n">
        <f aca="false">CDS!$B$13</f>
        <v>14437500</v>
      </c>
      <c r="D49" s="17" t="n">
        <f aca="false">B49-C49</f>
        <v>0</v>
      </c>
      <c r="E49" s="21" t="s">
        <v>146</v>
      </c>
      <c r="F49" s="16"/>
    </row>
    <row r="50" customFormat="false" ht="39.75" hidden="false" customHeight="true" outlineLevel="0" collapsed="false">
      <c r="A50" s="14" t="s">
        <v>147</v>
      </c>
      <c r="B50" s="28" t="n">
        <v>781250</v>
      </c>
      <c r="C50" s="28" t="n">
        <v>0</v>
      </c>
      <c r="D50" s="17" t="n">
        <f aca="false">B50-C50</f>
        <v>781250</v>
      </c>
      <c r="E50" s="21" t="s">
        <v>148</v>
      </c>
      <c r="F50" s="16"/>
    </row>
    <row r="51" customFormat="false" ht="39.75" hidden="false" customHeight="true" outlineLevel="0" collapsed="false">
      <c r="A51" s="14" t="s">
        <v>149</v>
      </c>
      <c r="B51" s="28" t="n">
        <v>537000</v>
      </c>
      <c r="C51" s="28" t="n">
        <v>0</v>
      </c>
      <c r="D51" s="17" t="n">
        <f aca="false">B51-C51</f>
        <v>537000</v>
      </c>
      <c r="E51" s="21" t="s">
        <v>150</v>
      </c>
      <c r="F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</row>
    <row r="54" customFormat="false" ht="15" hidden="false" customHeight="false" outlineLevel="0" collapsed="false">
      <c r="A54" s="22" t="s">
        <v>151</v>
      </c>
      <c r="B54" s="22"/>
      <c r="C54" s="22"/>
      <c r="D54" s="22"/>
      <c r="E54" s="22"/>
      <c r="F54" s="22"/>
    </row>
    <row r="55" customFormat="false" ht="15" hidden="false" customHeight="false" outlineLevel="0" collapsed="false">
      <c r="A55" s="14" t="s">
        <v>152</v>
      </c>
      <c r="B55" s="15" t="n">
        <f aca="false">Cash_Recon!$D$39</f>
        <v>6721018</v>
      </c>
      <c r="C55" s="16"/>
      <c r="D55" s="16"/>
      <c r="E55" s="16"/>
      <c r="F55" s="16"/>
    </row>
    <row r="56" customFormat="false" ht="15" hidden="false" customHeight="false" outlineLevel="0" collapsed="false">
      <c r="A56" s="14" t="s">
        <v>153</v>
      </c>
      <c r="B56" s="15" t="n">
        <f aca="false">LP_Capital!$C$15</f>
        <v>421800000</v>
      </c>
      <c r="C56" s="16"/>
      <c r="D56" s="16"/>
      <c r="E56" s="16"/>
      <c r="F56" s="16"/>
    </row>
    <row r="57" customFormat="false" ht="15" hidden="false" customHeight="false" outlineLevel="0" collapsed="false">
      <c r="A57" s="14" t="s">
        <v>154</v>
      </c>
      <c r="B57" s="15" t="n">
        <f aca="false">LP_Capital!$C$24</f>
        <v>50450000</v>
      </c>
      <c r="C57" s="16"/>
      <c r="D57" s="16"/>
      <c r="E57" s="16"/>
      <c r="F57" s="16"/>
    </row>
  </sheetData>
  <mergeCells count="17">
    <mergeCell ref="A1:F1"/>
    <mergeCell ref="A2:F2"/>
    <mergeCell ref="A4:F4"/>
    <mergeCell ref="A21:F23"/>
    <mergeCell ref="A25:F25"/>
    <mergeCell ref="C27:F27"/>
    <mergeCell ref="C28:F28"/>
    <mergeCell ref="C29:F29"/>
    <mergeCell ref="C30:F30"/>
    <mergeCell ref="C31:F31"/>
    <mergeCell ref="C32:F32"/>
    <mergeCell ref="C33:F33"/>
    <mergeCell ref="C34:F34"/>
    <mergeCell ref="A37:F37"/>
    <mergeCell ref="A42:F44"/>
    <mergeCell ref="A46:F46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2" min="12" style="0" width="13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5" min="15" style="0" width="40"/>
  </cols>
  <sheetData>
    <row r="1" customFormat="false" ht="21.75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5" hidden="false" customHeight="true" outlineLevel="0" collapsed="false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6" t="s">
        <v>157</v>
      </c>
      <c r="B4" s="6" t="s">
        <v>158</v>
      </c>
      <c r="C4" s="6" t="s">
        <v>159</v>
      </c>
      <c r="D4" s="6" t="s">
        <v>160</v>
      </c>
      <c r="E4" s="6" t="s">
        <v>161</v>
      </c>
      <c r="F4" s="6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</row>
    <row r="5" customFormat="false" ht="27.75" hidden="false" customHeight="true" outlineLevel="0" collapsed="false">
      <c r="A5" s="29" t="s">
        <v>172</v>
      </c>
      <c r="B5" s="29" t="s">
        <v>173</v>
      </c>
      <c r="C5" s="29" t="s">
        <v>174</v>
      </c>
      <c r="D5" s="29" t="s">
        <v>175</v>
      </c>
      <c r="E5" s="30" t="n">
        <v>45000000</v>
      </c>
      <c r="F5" s="31" t="n">
        <v>1</v>
      </c>
      <c r="G5" s="17" t="n">
        <f aca="false">E5*F5</f>
        <v>45000000</v>
      </c>
      <c r="H5" s="29" t="s">
        <v>176</v>
      </c>
      <c r="I5" s="29" t="s">
        <v>177</v>
      </c>
      <c r="J5" s="28" t="n">
        <v>1148625</v>
      </c>
      <c r="K5" s="28" t="n">
        <v>1148625</v>
      </c>
      <c r="L5" s="17" t="n">
        <f aca="false">K5-J5</f>
        <v>0</v>
      </c>
      <c r="M5" s="29" t="n">
        <v>0</v>
      </c>
      <c r="N5" s="32" t="s">
        <v>178</v>
      </c>
      <c r="O5" s="21" t="s">
        <v>179</v>
      </c>
    </row>
    <row r="6" customFormat="false" ht="27.75" hidden="false" customHeight="true" outlineLevel="0" collapsed="false">
      <c r="A6" s="29" t="s">
        <v>180</v>
      </c>
      <c r="B6" s="29" t="s">
        <v>173</v>
      </c>
      <c r="C6" s="29" t="s">
        <v>174</v>
      </c>
      <c r="D6" s="29" t="s">
        <v>175</v>
      </c>
      <c r="E6" s="30" t="n">
        <v>25000000</v>
      </c>
      <c r="F6" s="31" t="n">
        <v>1</v>
      </c>
      <c r="G6" s="17" t="n">
        <f aca="false">E6*F6</f>
        <v>25000000</v>
      </c>
      <c r="H6" s="29" t="s">
        <v>181</v>
      </c>
      <c r="I6" s="29" t="s">
        <v>177</v>
      </c>
      <c r="J6" s="28" t="n">
        <v>0</v>
      </c>
      <c r="K6" s="28" t="n">
        <v>640625</v>
      </c>
      <c r="L6" s="17" t="n">
        <f aca="false">K6-J6</f>
        <v>640625</v>
      </c>
      <c r="M6" s="29" t="n">
        <v>92</v>
      </c>
      <c r="N6" s="32" t="s">
        <v>178</v>
      </c>
      <c r="O6" s="21" t="s">
        <v>182</v>
      </c>
    </row>
    <row r="7" customFormat="false" ht="27.75" hidden="false" customHeight="true" outlineLevel="0" collapsed="false">
      <c r="A7" s="29" t="s">
        <v>183</v>
      </c>
      <c r="B7" s="29" t="s">
        <v>173</v>
      </c>
      <c r="C7" s="29" t="s">
        <v>174</v>
      </c>
      <c r="D7" s="29" t="s">
        <v>175</v>
      </c>
      <c r="E7" s="30" t="n">
        <v>25000000</v>
      </c>
      <c r="F7" s="31" t="n">
        <v>1</v>
      </c>
      <c r="G7" s="17" t="n">
        <f aca="false">E7*F7</f>
        <v>25000000</v>
      </c>
      <c r="H7" s="29" t="s">
        <v>181</v>
      </c>
      <c r="I7" s="29" t="s">
        <v>177</v>
      </c>
      <c r="J7" s="28" t="n">
        <v>0</v>
      </c>
      <c r="K7" s="28" t="n">
        <v>0</v>
      </c>
      <c r="L7" s="17" t="n">
        <f aca="false">K7-J7</f>
        <v>0</v>
      </c>
      <c r="M7" s="29" t="n">
        <v>92</v>
      </c>
      <c r="N7" s="33" t="s">
        <v>184</v>
      </c>
      <c r="O7" s="21" t="s">
        <v>185</v>
      </c>
    </row>
    <row r="8" customFormat="false" ht="27.75" hidden="false" customHeight="true" outlineLevel="0" collapsed="false">
      <c r="A8" s="29" t="s">
        <v>186</v>
      </c>
      <c r="B8" s="29" t="s">
        <v>187</v>
      </c>
      <c r="C8" s="29" t="s">
        <v>174</v>
      </c>
      <c r="D8" s="29" t="s">
        <v>175</v>
      </c>
      <c r="E8" s="30" t="n">
        <v>58500000</v>
      </c>
      <c r="F8" s="31" t="n">
        <v>1</v>
      </c>
      <c r="G8" s="17" t="n">
        <f aca="false">E8*F8</f>
        <v>58500000</v>
      </c>
      <c r="H8" s="29" t="s">
        <v>188</v>
      </c>
      <c r="I8" s="29" t="s">
        <v>189</v>
      </c>
      <c r="J8" s="28" t="n">
        <v>1393875</v>
      </c>
      <c r="K8" s="28" t="n">
        <v>1393875</v>
      </c>
      <c r="L8" s="17" t="n">
        <f aca="false">K8-J8</f>
        <v>0</v>
      </c>
      <c r="M8" s="29" t="n">
        <v>0</v>
      </c>
      <c r="N8" s="32" t="s">
        <v>178</v>
      </c>
      <c r="O8" s="21" t="s">
        <v>190</v>
      </c>
    </row>
    <row r="9" customFormat="false" ht="27.75" hidden="false" customHeight="true" outlineLevel="0" collapsed="false">
      <c r="A9" s="29" t="s">
        <v>191</v>
      </c>
      <c r="B9" s="29" t="s">
        <v>192</v>
      </c>
      <c r="C9" s="29" t="s">
        <v>174</v>
      </c>
      <c r="D9" s="29" t="s">
        <v>175</v>
      </c>
      <c r="E9" s="30" t="n">
        <v>1850000</v>
      </c>
      <c r="F9" s="31" t="n">
        <v>1</v>
      </c>
      <c r="G9" s="17" t="n">
        <f aca="false">E9*F9</f>
        <v>1850000</v>
      </c>
      <c r="H9" s="29" t="s">
        <v>193</v>
      </c>
      <c r="I9" s="29" t="s">
        <v>194</v>
      </c>
      <c r="J9" s="28" t="n">
        <v>0</v>
      </c>
      <c r="K9" s="28" t="n">
        <v>781250</v>
      </c>
      <c r="L9" s="17" t="n">
        <f aca="false">K9-J9</f>
        <v>781250</v>
      </c>
      <c r="M9" s="29" t="n">
        <v>0</v>
      </c>
      <c r="N9" s="32" t="s">
        <v>178</v>
      </c>
      <c r="O9" s="21" t="s">
        <v>195</v>
      </c>
    </row>
    <row r="10" customFormat="false" ht="27.75" hidden="false" customHeight="true" outlineLevel="0" collapsed="false">
      <c r="A10" s="29" t="s">
        <v>196</v>
      </c>
      <c r="B10" s="29" t="s">
        <v>197</v>
      </c>
      <c r="C10" s="29" t="s">
        <v>174</v>
      </c>
      <c r="D10" s="29" t="s">
        <v>175</v>
      </c>
      <c r="E10" s="30" t="n">
        <v>20000000</v>
      </c>
      <c r="F10" s="31" t="n">
        <v>1</v>
      </c>
      <c r="G10" s="17" t="n">
        <f aca="false">E10*F10</f>
        <v>20000000</v>
      </c>
      <c r="H10" s="29" t="s">
        <v>198</v>
      </c>
      <c r="I10" s="29" t="s">
        <v>177</v>
      </c>
      <c r="J10" s="28" t="n">
        <v>475000</v>
      </c>
      <c r="K10" s="28" t="n">
        <v>475000</v>
      </c>
      <c r="L10" s="17" t="n">
        <f aca="false">K10-J10</f>
        <v>0</v>
      </c>
      <c r="M10" s="29" t="n">
        <v>0</v>
      </c>
      <c r="N10" s="32" t="s">
        <v>178</v>
      </c>
      <c r="O10" s="21" t="s">
        <v>199</v>
      </c>
    </row>
    <row r="11" customFormat="false" ht="27.75" hidden="false" customHeight="true" outlineLevel="0" collapsed="false">
      <c r="A11" s="29" t="s">
        <v>200</v>
      </c>
      <c r="B11" s="29" t="s">
        <v>201</v>
      </c>
      <c r="C11" s="29" t="s">
        <v>174</v>
      </c>
      <c r="D11" s="29" t="s">
        <v>175</v>
      </c>
      <c r="E11" s="30" t="n">
        <v>80000000</v>
      </c>
      <c r="F11" s="31" t="n">
        <v>1</v>
      </c>
      <c r="G11" s="17" t="n">
        <f aca="false">E11*F11</f>
        <v>80000000</v>
      </c>
      <c r="H11" s="29" t="s">
        <v>202</v>
      </c>
      <c r="I11" s="29" t="s">
        <v>177</v>
      </c>
      <c r="J11" s="28" t="n">
        <v>2172000</v>
      </c>
      <c r="K11" s="28" t="n">
        <v>2172000</v>
      </c>
      <c r="L11" s="17" t="n">
        <f aca="false">K11-J11</f>
        <v>0</v>
      </c>
      <c r="M11" s="29" t="n">
        <v>0</v>
      </c>
      <c r="N11" s="32" t="s">
        <v>178</v>
      </c>
      <c r="O11" s="21" t="s">
        <v>203</v>
      </c>
    </row>
    <row r="12" customFormat="false" ht="27.75" hidden="false" customHeight="true" outlineLevel="0" collapsed="false">
      <c r="A12" s="29" t="s">
        <v>204</v>
      </c>
      <c r="B12" s="29" t="s">
        <v>205</v>
      </c>
      <c r="C12" s="29" t="s">
        <v>174</v>
      </c>
      <c r="D12" s="29" t="s">
        <v>175</v>
      </c>
      <c r="E12" s="30" t="n">
        <v>32000000</v>
      </c>
      <c r="F12" s="31" t="n">
        <v>1</v>
      </c>
      <c r="G12" s="17" t="n">
        <f aca="false">E12*F12</f>
        <v>32000000</v>
      </c>
      <c r="H12" s="29" t="s">
        <v>206</v>
      </c>
      <c r="I12" s="29" t="s">
        <v>177</v>
      </c>
      <c r="J12" s="28" t="n">
        <v>656000</v>
      </c>
      <c r="K12" s="28" t="n">
        <v>656000</v>
      </c>
      <c r="L12" s="17" t="n">
        <f aca="false">K12-J12</f>
        <v>0</v>
      </c>
      <c r="M12" s="29" t="n">
        <v>0</v>
      </c>
      <c r="N12" s="32" t="s">
        <v>178</v>
      </c>
      <c r="O12" s="21" t="s">
        <v>207</v>
      </c>
    </row>
    <row r="13" customFormat="false" ht="27.75" hidden="false" customHeight="true" outlineLevel="0" collapsed="false">
      <c r="A13" s="29" t="s">
        <v>208</v>
      </c>
      <c r="B13" s="29" t="s">
        <v>209</v>
      </c>
      <c r="C13" s="29" t="s">
        <v>174</v>
      </c>
      <c r="D13" s="29" t="s">
        <v>175</v>
      </c>
      <c r="E13" s="30" t="n">
        <v>15000000</v>
      </c>
      <c r="F13" s="31" t="n">
        <v>1</v>
      </c>
      <c r="G13" s="17" t="n">
        <f aca="false">E13*F13</f>
        <v>15000000</v>
      </c>
      <c r="H13" s="29" t="s">
        <v>210</v>
      </c>
      <c r="I13" s="29" t="s">
        <v>177</v>
      </c>
      <c r="J13" s="28" t="n">
        <v>412500</v>
      </c>
      <c r="K13" s="28" t="n">
        <v>412500</v>
      </c>
      <c r="L13" s="17" t="n">
        <f aca="false">K13-J13</f>
        <v>0</v>
      </c>
      <c r="M13" s="29" t="n">
        <v>0</v>
      </c>
      <c r="N13" s="32" t="s">
        <v>178</v>
      </c>
      <c r="O13" s="21" t="s">
        <v>199</v>
      </c>
    </row>
    <row r="14" customFormat="false" ht="27.75" hidden="false" customHeight="true" outlineLevel="0" collapsed="false">
      <c r="A14" s="29" t="s">
        <v>211</v>
      </c>
      <c r="B14" s="29" t="s">
        <v>212</v>
      </c>
      <c r="C14" s="29" t="s">
        <v>174</v>
      </c>
      <c r="D14" s="29" t="s">
        <v>175</v>
      </c>
      <c r="E14" s="30" t="n">
        <v>22000000</v>
      </c>
      <c r="F14" s="31" t="n">
        <v>1</v>
      </c>
      <c r="G14" s="17" t="n">
        <f aca="false">E14*F14</f>
        <v>22000000</v>
      </c>
      <c r="H14" s="29" t="s">
        <v>213</v>
      </c>
      <c r="I14" s="29" t="s">
        <v>177</v>
      </c>
      <c r="J14" s="28" t="n">
        <v>529100</v>
      </c>
      <c r="K14" s="28" t="n">
        <v>529100</v>
      </c>
      <c r="L14" s="17" t="n">
        <f aca="false">K14-J14</f>
        <v>0</v>
      </c>
      <c r="M14" s="29" t="n">
        <v>0</v>
      </c>
      <c r="N14" s="32" t="s">
        <v>178</v>
      </c>
      <c r="O14" s="21" t="s">
        <v>214</v>
      </c>
    </row>
    <row r="15" customFormat="false" ht="27.75" hidden="false" customHeight="true" outlineLevel="0" collapsed="false">
      <c r="A15" s="29" t="s">
        <v>215</v>
      </c>
      <c r="B15" s="29" t="s">
        <v>216</v>
      </c>
      <c r="C15" s="29" t="s">
        <v>174</v>
      </c>
      <c r="D15" s="29" t="s">
        <v>175</v>
      </c>
      <c r="E15" s="30" t="n">
        <v>18000000</v>
      </c>
      <c r="F15" s="31" t="n">
        <v>1</v>
      </c>
      <c r="G15" s="17" t="n">
        <f aca="false">E15*F15</f>
        <v>18000000</v>
      </c>
      <c r="H15" s="29" t="s">
        <v>217</v>
      </c>
      <c r="I15" s="29" t="s">
        <v>218</v>
      </c>
      <c r="J15" s="28" t="n">
        <v>787500</v>
      </c>
      <c r="K15" s="28" t="n">
        <v>393750</v>
      </c>
      <c r="L15" s="17" t="n">
        <f aca="false">K15-J15</f>
        <v>-393750</v>
      </c>
      <c r="M15" s="29" t="n">
        <v>0</v>
      </c>
      <c r="N15" s="32" t="s">
        <v>178</v>
      </c>
      <c r="O15" s="21" t="s">
        <v>219</v>
      </c>
    </row>
    <row r="16" customFormat="false" ht="27.75" hidden="false" customHeight="true" outlineLevel="0" collapsed="false">
      <c r="A16" s="29" t="s">
        <v>220</v>
      </c>
      <c r="B16" s="29" t="s">
        <v>221</v>
      </c>
      <c r="C16" s="29" t="s">
        <v>174</v>
      </c>
      <c r="D16" s="29" t="s">
        <v>175</v>
      </c>
      <c r="E16" s="30" t="n">
        <v>30500000</v>
      </c>
      <c r="F16" s="31" t="n">
        <v>1</v>
      </c>
      <c r="G16" s="17" t="n">
        <f aca="false">E16*F16</f>
        <v>30500000</v>
      </c>
      <c r="H16" s="29" t="s">
        <v>222</v>
      </c>
      <c r="I16" s="29" t="s">
        <v>177</v>
      </c>
      <c r="J16" s="28" t="n">
        <v>787500</v>
      </c>
      <c r="K16" s="28" t="n">
        <v>762125</v>
      </c>
      <c r="L16" s="17" t="n">
        <f aca="false">K16-J16</f>
        <v>-25375</v>
      </c>
      <c r="M16" s="29" t="n">
        <v>0</v>
      </c>
      <c r="N16" s="32" t="s">
        <v>178</v>
      </c>
      <c r="O16" s="21" t="s">
        <v>223</v>
      </c>
    </row>
    <row r="17" customFormat="false" ht="27.75" hidden="false" customHeight="true" outlineLevel="0" collapsed="false">
      <c r="A17" s="29" t="s">
        <v>224</v>
      </c>
      <c r="B17" s="29" t="s">
        <v>225</v>
      </c>
      <c r="C17" s="29" t="s">
        <v>174</v>
      </c>
      <c r="D17" s="29" t="s">
        <v>175</v>
      </c>
      <c r="E17" s="30" t="n">
        <v>12000000</v>
      </c>
      <c r="F17" s="31" t="n">
        <v>1</v>
      </c>
      <c r="G17" s="17" t="n">
        <f aca="false">E17*F17</f>
        <v>12000000</v>
      </c>
      <c r="H17" s="29" t="s">
        <v>226</v>
      </c>
      <c r="I17" s="29" t="s">
        <v>189</v>
      </c>
      <c r="J17" s="28" t="n">
        <v>381000</v>
      </c>
      <c r="K17" s="28" t="n">
        <v>381000</v>
      </c>
      <c r="L17" s="17" t="n">
        <f aca="false">K17-J17</f>
        <v>0</v>
      </c>
      <c r="M17" s="29" t="n">
        <v>0</v>
      </c>
      <c r="N17" s="32" t="s">
        <v>178</v>
      </c>
      <c r="O17" s="21" t="s">
        <v>227</v>
      </c>
    </row>
    <row r="18" customFormat="false" ht="27.75" hidden="false" customHeight="true" outlineLevel="0" collapsed="false">
      <c r="A18" s="29" t="s">
        <v>228</v>
      </c>
      <c r="B18" s="29" t="s">
        <v>229</v>
      </c>
      <c r="C18" s="29" t="s">
        <v>230</v>
      </c>
      <c r="D18" s="29" t="s">
        <v>175</v>
      </c>
      <c r="E18" s="30" t="n">
        <v>14000000</v>
      </c>
      <c r="F18" s="31" t="n">
        <v>1</v>
      </c>
      <c r="G18" s="17" t="n">
        <f aca="false">E18*F18</f>
        <v>14000000</v>
      </c>
      <c r="H18" s="29" t="s">
        <v>181</v>
      </c>
      <c r="I18" s="29" t="s">
        <v>177</v>
      </c>
      <c r="J18" s="28" t="n">
        <v>358750</v>
      </c>
      <c r="K18" s="28" t="n">
        <v>358750</v>
      </c>
      <c r="L18" s="17" t="n">
        <f aca="false">K18-J18</f>
        <v>0</v>
      </c>
      <c r="M18" s="29" t="n">
        <v>0</v>
      </c>
      <c r="N18" s="32" t="s">
        <v>178</v>
      </c>
      <c r="O18" s="21" t="s">
        <v>231</v>
      </c>
    </row>
    <row r="19" customFormat="false" ht="27.75" hidden="false" customHeight="true" outlineLevel="0" collapsed="false">
      <c r="A19" s="29" t="s">
        <v>232</v>
      </c>
      <c r="B19" s="29" t="s">
        <v>233</v>
      </c>
      <c r="C19" s="29" t="s">
        <v>230</v>
      </c>
      <c r="D19" s="29" t="s">
        <v>234</v>
      </c>
      <c r="E19" s="30" t="n">
        <v>28000000</v>
      </c>
      <c r="F19" s="31" t="n">
        <v>1.2585</v>
      </c>
      <c r="G19" s="17" t="n">
        <f aca="false">E19*F19</f>
        <v>35238000</v>
      </c>
      <c r="H19" s="29" t="s">
        <v>235</v>
      </c>
      <c r="I19" s="29" t="s">
        <v>177</v>
      </c>
      <c r="J19" s="28" t="n">
        <v>594702</v>
      </c>
      <c r="K19" s="28" t="n">
        <v>594702</v>
      </c>
      <c r="L19" s="17" t="n">
        <f aca="false">K19-J19</f>
        <v>0</v>
      </c>
      <c r="M19" s="29" t="n">
        <v>0</v>
      </c>
      <c r="N19" s="32" t="s">
        <v>178</v>
      </c>
      <c r="O19" s="21" t="s">
        <v>236</v>
      </c>
    </row>
    <row r="20" customFormat="false" ht="27.75" hidden="false" customHeight="true" outlineLevel="0" collapsed="false">
      <c r="A20" s="29" t="s">
        <v>237</v>
      </c>
      <c r="B20" s="29" t="s">
        <v>238</v>
      </c>
      <c r="C20" s="29" t="s">
        <v>230</v>
      </c>
      <c r="D20" s="29" t="s">
        <v>239</v>
      </c>
      <c r="E20" s="30" t="n">
        <v>18000000</v>
      </c>
      <c r="F20" s="31" t="n">
        <v>1.0655</v>
      </c>
      <c r="G20" s="17" t="n">
        <f aca="false">E20*F20</f>
        <v>19179000</v>
      </c>
      <c r="H20" s="29" t="s">
        <v>240</v>
      </c>
      <c r="I20" s="29" t="s">
        <v>177</v>
      </c>
      <c r="J20" s="28" t="n">
        <v>359606</v>
      </c>
      <c r="K20" s="28" t="n">
        <v>359606</v>
      </c>
      <c r="L20" s="17" t="n">
        <f aca="false">K20-J20</f>
        <v>0</v>
      </c>
      <c r="M20" s="29" t="n">
        <v>0</v>
      </c>
      <c r="N20" s="32" t="s">
        <v>178</v>
      </c>
      <c r="O20" s="21" t="s">
        <v>241</v>
      </c>
    </row>
    <row r="21" customFormat="false" ht="27.75" hidden="false" customHeight="true" outlineLevel="0" collapsed="false">
      <c r="A21" s="29" t="s">
        <v>242</v>
      </c>
      <c r="B21" s="29" t="s">
        <v>243</v>
      </c>
      <c r="C21" s="29" t="s">
        <v>230</v>
      </c>
      <c r="D21" s="29" t="s">
        <v>175</v>
      </c>
      <c r="E21" s="30" t="n">
        <v>9750000</v>
      </c>
      <c r="F21" s="31" t="n">
        <v>1</v>
      </c>
      <c r="G21" s="17" t="n">
        <f aca="false">E21*F21</f>
        <v>9750000</v>
      </c>
      <c r="H21" s="29" t="s">
        <v>188</v>
      </c>
      <c r="I21" s="29" t="s">
        <v>177</v>
      </c>
      <c r="J21" s="28" t="n">
        <v>189150</v>
      </c>
      <c r="K21" s="28" t="n">
        <v>189150</v>
      </c>
      <c r="L21" s="17" t="n">
        <f aca="false">K21-J21</f>
        <v>0</v>
      </c>
      <c r="M21" s="29" t="n">
        <v>0</v>
      </c>
      <c r="N21" s="32" t="s">
        <v>178</v>
      </c>
      <c r="O21" s="21" t="s">
        <v>244</v>
      </c>
    </row>
    <row r="22" customFormat="false" ht="27.75" hidden="false" customHeight="true" outlineLevel="0" collapsed="false">
      <c r="A22" s="29" t="s">
        <v>245</v>
      </c>
      <c r="B22" s="29" t="s">
        <v>205</v>
      </c>
      <c r="C22" s="29" t="s">
        <v>230</v>
      </c>
      <c r="D22" s="29" t="s">
        <v>175</v>
      </c>
      <c r="E22" s="30" t="n">
        <v>32000000</v>
      </c>
      <c r="F22" s="31" t="n">
        <v>1</v>
      </c>
      <c r="G22" s="17" t="n">
        <f aca="false">E22*F22</f>
        <v>32000000</v>
      </c>
      <c r="H22" s="29" t="s">
        <v>206</v>
      </c>
      <c r="I22" s="29" t="s">
        <v>177</v>
      </c>
      <c r="J22" s="28" t="n">
        <v>656000</v>
      </c>
      <c r="K22" s="28" t="n">
        <v>656000</v>
      </c>
      <c r="L22" s="17" t="n">
        <f aca="false">K22-J22</f>
        <v>0</v>
      </c>
      <c r="M22" s="29" t="n">
        <v>0</v>
      </c>
      <c r="N22" s="33" t="s">
        <v>184</v>
      </c>
      <c r="O22" s="21" t="s">
        <v>246</v>
      </c>
    </row>
    <row r="23" customFormat="false" ht="27.75" hidden="false" customHeight="true" outlineLevel="0" collapsed="false">
      <c r="A23" s="29" t="s">
        <v>247</v>
      </c>
      <c r="B23" s="29" t="s">
        <v>248</v>
      </c>
      <c r="C23" s="29" t="s">
        <v>230</v>
      </c>
      <c r="D23" s="29" t="s">
        <v>175</v>
      </c>
      <c r="E23" s="30" t="n">
        <v>40000000</v>
      </c>
      <c r="F23" s="31" t="n">
        <v>1</v>
      </c>
      <c r="G23" s="17" t="n">
        <f aca="false">E23*F23</f>
        <v>40000000</v>
      </c>
      <c r="H23" s="29" t="s">
        <v>249</v>
      </c>
      <c r="I23" s="29" t="s">
        <v>177</v>
      </c>
      <c r="J23" s="28" t="n">
        <v>1150000</v>
      </c>
      <c r="K23" s="28" t="n">
        <v>1150000</v>
      </c>
      <c r="L23" s="17" t="n">
        <f aca="false">K23-J23</f>
        <v>0</v>
      </c>
      <c r="M23" s="29" t="n">
        <v>0</v>
      </c>
      <c r="N23" s="32" t="s">
        <v>178</v>
      </c>
      <c r="O23" s="21" t="s">
        <v>250</v>
      </c>
    </row>
    <row r="24" customFormat="false" ht="27.75" hidden="false" customHeight="true" outlineLevel="0" collapsed="false">
      <c r="A24" s="29" t="s">
        <v>251</v>
      </c>
      <c r="B24" s="29" t="s">
        <v>252</v>
      </c>
      <c r="C24" s="29" t="s">
        <v>230</v>
      </c>
      <c r="D24" s="29" t="s">
        <v>175</v>
      </c>
      <c r="E24" s="30" t="n">
        <v>35000000</v>
      </c>
      <c r="F24" s="31" t="n">
        <v>1</v>
      </c>
      <c r="G24" s="17" t="n">
        <f aca="false">E24*F24</f>
        <v>35000000</v>
      </c>
      <c r="H24" s="29" t="s">
        <v>222</v>
      </c>
      <c r="I24" s="29" t="s">
        <v>177</v>
      </c>
      <c r="J24" s="28" t="n">
        <v>0</v>
      </c>
      <c r="K24" s="28" t="n">
        <v>0</v>
      </c>
      <c r="L24" s="17" t="n">
        <f aca="false">K24-J24</f>
        <v>0</v>
      </c>
      <c r="M24" s="29" t="n">
        <v>0</v>
      </c>
      <c r="N24" s="33" t="s">
        <v>184</v>
      </c>
      <c r="O24" s="21" t="s">
        <v>253</v>
      </c>
    </row>
    <row r="25" customFormat="false" ht="27.75" hidden="false" customHeight="true" outlineLevel="0" collapsed="false">
      <c r="A25" s="29" t="s">
        <v>254</v>
      </c>
      <c r="B25" s="29" t="s">
        <v>255</v>
      </c>
      <c r="C25" s="29" t="s">
        <v>230</v>
      </c>
      <c r="D25" s="29" t="s">
        <v>175</v>
      </c>
      <c r="E25" s="30" t="n">
        <v>35000000</v>
      </c>
      <c r="F25" s="31" t="n">
        <v>1</v>
      </c>
      <c r="G25" s="17" t="n">
        <f aca="false">E25*F25</f>
        <v>35000000</v>
      </c>
      <c r="H25" s="29" t="s">
        <v>222</v>
      </c>
      <c r="I25" s="29" t="s">
        <v>177</v>
      </c>
      <c r="J25" s="28" t="n">
        <v>0</v>
      </c>
      <c r="K25" s="28" t="n">
        <v>0</v>
      </c>
      <c r="L25" s="17" t="n">
        <f aca="false">K25-J25</f>
        <v>0</v>
      </c>
      <c r="M25" s="29" t="n">
        <v>0</v>
      </c>
      <c r="N25" s="33" t="s">
        <v>184</v>
      </c>
      <c r="O25" s="21" t="s">
        <v>256</v>
      </c>
    </row>
    <row r="26" customFormat="false" ht="27.75" hidden="false" customHeight="true" outlineLevel="0" collapsed="false">
      <c r="A26" s="29" t="s">
        <v>257</v>
      </c>
      <c r="B26" s="29" t="s">
        <v>258</v>
      </c>
      <c r="C26" s="29" t="s">
        <v>230</v>
      </c>
      <c r="D26" s="29" t="s">
        <v>259</v>
      </c>
      <c r="E26" s="30" t="n">
        <v>2400000000</v>
      </c>
      <c r="F26" s="31" t="n">
        <v>0.00752</v>
      </c>
      <c r="G26" s="17" t="n">
        <f aca="false">E26*F26</f>
        <v>18048000</v>
      </c>
      <c r="H26" s="29" t="s">
        <v>217</v>
      </c>
      <c r="I26" s="29" t="s">
        <v>218</v>
      </c>
      <c r="J26" s="28" t="n">
        <v>0</v>
      </c>
      <c r="K26" s="28" t="n">
        <v>0</v>
      </c>
      <c r="L26" s="17" t="n">
        <f aca="false">K26-J26</f>
        <v>0</v>
      </c>
      <c r="M26" s="29" t="n">
        <v>0</v>
      </c>
      <c r="N26" s="33" t="s">
        <v>184</v>
      </c>
      <c r="O26" s="21" t="s">
        <v>260</v>
      </c>
    </row>
    <row r="27" customFormat="false" ht="18" hidden="false" customHeight="true" outlineLevel="0" collapsed="false">
      <c r="A27" s="27" t="s">
        <v>261</v>
      </c>
      <c r="B27" s="27"/>
      <c r="C27" s="34"/>
      <c r="D27" s="34"/>
      <c r="E27" s="34"/>
      <c r="F27" s="34"/>
      <c r="G27" s="35" t="n">
        <f aca="false">SUMIF(N5:N26,"Y",G5:G26)</f>
        <v>478017000</v>
      </c>
      <c r="H27" s="34"/>
      <c r="I27" s="34"/>
      <c r="J27" s="35" t="n">
        <f aca="false">SUMIF(N5:N26,"Y",J5:J26)</f>
        <v>11395308</v>
      </c>
      <c r="K27" s="35" t="n">
        <f aca="false">SUMIF(N5:N26,"Y",K5:K26)</f>
        <v>12398058</v>
      </c>
      <c r="L27" s="35" t="n">
        <f aca="false">SUMIF(N5:N26,"Y",L5:L26)</f>
        <v>1002750</v>
      </c>
      <c r="M27" s="34"/>
      <c r="N27" s="34"/>
      <c r="O27" s="34"/>
    </row>
    <row r="29" customFormat="false" ht="15" hidden="false" customHeight="false" outlineLevel="0" collapsed="false">
      <c r="B29" s="9" t="s">
        <v>262</v>
      </c>
    </row>
    <row r="30" customFormat="false" ht="15" hidden="false" customHeight="false" outlineLevel="0" collapsed="false">
      <c r="B30" s="9" t="s">
        <v>263</v>
      </c>
      <c r="G30" s="36" t="n">
        <f aca="false">SUMIF(N5:N26,"N",G5:G26)</f>
        <v>145048000</v>
      </c>
    </row>
  </sheetData>
  <mergeCells count="3">
    <mergeCell ref="A1:O1"/>
    <mergeCell ref="A2:O2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265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266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14" t="s">
        <v>267</v>
      </c>
      <c r="B5" s="16"/>
      <c r="C5" s="16"/>
      <c r="D5" s="28" t="n">
        <v>300000000</v>
      </c>
      <c r="E5" s="16"/>
      <c r="F5" s="16"/>
      <c r="G5" s="16"/>
      <c r="H5" s="37" t="s">
        <v>268</v>
      </c>
    </row>
    <row r="6" customFormat="false" ht="15" hidden="false" customHeight="false" outlineLevel="0" collapsed="false">
      <c r="A6" s="14" t="s">
        <v>269</v>
      </c>
      <c r="B6" s="16"/>
      <c r="C6" s="16"/>
      <c r="D6" s="29" t="s">
        <v>270</v>
      </c>
      <c r="E6" s="29"/>
      <c r="F6" s="16"/>
      <c r="G6" s="16"/>
      <c r="H6" s="37" t="s">
        <v>271</v>
      </c>
    </row>
    <row r="7" customFormat="false" ht="15" hidden="false" customHeight="false" outlineLevel="0" collapsed="false">
      <c r="A7" s="14" t="s">
        <v>272</v>
      </c>
      <c r="B7" s="16"/>
      <c r="C7" s="16"/>
      <c r="D7" s="38" t="n">
        <v>0.004</v>
      </c>
      <c r="E7" s="16"/>
      <c r="F7" s="16"/>
      <c r="G7" s="16"/>
      <c r="H7" s="37" t="s">
        <v>273</v>
      </c>
    </row>
    <row r="8" customFormat="false" ht="15" hidden="false" customHeight="false" outlineLevel="0" collapsed="false">
      <c r="A8" s="14" t="s">
        <v>274</v>
      </c>
      <c r="B8" s="16"/>
      <c r="C8" s="16"/>
      <c r="D8" s="38" t="n">
        <v>0.0075</v>
      </c>
      <c r="E8" s="16"/>
      <c r="F8" s="16"/>
      <c r="G8" s="16"/>
      <c r="H8" s="37" t="s">
        <v>275</v>
      </c>
    </row>
    <row r="9" customFormat="false" ht="15" hidden="false" customHeight="false" outlineLevel="0" collapsed="false">
      <c r="A9" s="14" t="s">
        <v>276</v>
      </c>
      <c r="B9" s="16"/>
      <c r="C9" s="16"/>
      <c r="D9" s="29" t="s">
        <v>277</v>
      </c>
      <c r="E9" s="29"/>
      <c r="F9" s="16"/>
      <c r="G9" s="16"/>
      <c r="H9" s="37" t="s">
        <v>278</v>
      </c>
    </row>
    <row r="10" customFormat="false" ht="15" hidden="false" customHeight="false" outlineLevel="0" collapsed="false">
      <c r="A10" s="14" t="s">
        <v>279</v>
      </c>
      <c r="B10" s="16"/>
      <c r="C10" s="16"/>
      <c r="D10" s="28" t="n">
        <v>-5250000</v>
      </c>
      <c r="E10" s="16"/>
      <c r="F10" s="16"/>
      <c r="G10" s="16"/>
      <c r="H10" s="37" t="s">
        <v>280</v>
      </c>
    </row>
    <row r="11" customFormat="false" ht="15" hidden="false" customHeight="false" outlineLevel="0" collapsed="false">
      <c r="A11" s="14" t="s">
        <v>281</v>
      </c>
      <c r="B11" s="16"/>
      <c r="C11" s="16"/>
      <c r="D11" s="28" t="n">
        <v>-93750</v>
      </c>
      <c r="E11" s="16"/>
      <c r="F11" s="16"/>
      <c r="G11" s="16"/>
      <c r="H11" s="37" t="s">
        <v>282</v>
      </c>
    </row>
    <row r="12" customFormat="false" ht="15" hidden="false" customHeight="false" outlineLevel="0" collapsed="false">
      <c r="A12" s="14" t="s">
        <v>283</v>
      </c>
      <c r="B12" s="16"/>
      <c r="C12" s="16"/>
      <c r="D12" s="17" t="n">
        <f aca="false">ABS(D11)/D7/(90/360)</f>
        <v>93750000</v>
      </c>
      <c r="E12" s="16"/>
      <c r="F12" s="16"/>
      <c r="G12" s="16"/>
      <c r="H12" s="37" t="s">
        <v>284</v>
      </c>
    </row>
    <row r="13" customFormat="false" ht="15" hidden="false" customHeight="false" outlineLevel="0" collapsed="false">
      <c r="A13" s="14" t="s">
        <v>285</v>
      </c>
      <c r="B13" s="16"/>
      <c r="C13" s="16"/>
      <c r="D13" s="17" t="n">
        <f aca="false">D5-D12</f>
        <v>206250000</v>
      </c>
      <c r="E13" s="16"/>
      <c r="F13" s="16"/>
      <c r="G13" s="16"/>
      <c r="H13" s="37" t="s">
        <v>286</v>
      </c>
    </row>
    <row r="14" customFormat="false" ht="15" hidden="false" customHeight="false" outlineLevel="0" collapsed="false">
      <c r="A14" s="14" t="s">
        <v>287</v>
      </c>
      <c r="B14" s="16"/>
      <c r="C14" s="16"/>
      <c r="D14" s="39" t="s">
        <v>288</v>
      </c>
      <c r="E14" s="39"/>
      <c r="F14" s="39"/>
      <c r="G14" s="39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</row>
    <row r="16" customFormat="false" ht="15" hidden="false" customHeight="false" outlineLevel="0" collapsed="false">
      <c r="A16" s="40" t="s">
        <v>289</v>
      </c>
      <c r="B16" s="40"/>
      <c r="C16" s="40"/>
      <c r="D16" s="40"/>
      <c r="E16" s="40"/>
      <c r="F16" s="40"/>
      <c r="G16" s="40"/>
      <c r="H16" s="40"/>
    </row>
    <row r="17" customFormat="false" ht="15" hidden="false" customHeight="false" outlineLevel="0" collapsed="false">
      <c r="A17" s="14" t="s">
        <v>290</v>
      </c>
      <c r="B17" s="16"/>
      <c r="C17" s="16"/>
      <c r="D17" s="28" t="n">
        <v>200000000</v>
      </c>
      <c r="E17" s="16"/>
      <c r="F17" s="16"/>
      <c r="G17" s="16"/>
      <c r="H17" s="37" t="s">
        <v>291</v>
      </c>
    </row>
    <row r="18" customFormat="false" ht="15" hidden="false" customHeight="false" outlineLevel="0" collapsed="false">
      <c r="A18" s="14" t="s">
        <v>164</v>
      </c>
      <c r="B18" s="16"/>
      <c r="C18" s="16"/>
      <c r="D18" s="38" t="n">
        <v>0.0825</v>
      </c>
      <c r="E18" s="16"/>
      <c r="F18" s="16"/>
      <c r="G18" s="16"/>
      <c r="H18" s="37" t="s">
        <v>292</v>
      </c>
    </row>
    <row r="19" customFormat="false" ht="15" hidden="false" customHeight="false" outlineLevel="0" collapsed="false">
      <c r="A19" s="14" t="s">
        <v>293</v>
      </c>
      <c r="B19" s="16"/>
      <c r="C19" s="16"/>
      <c r="D19" s="29" t="s">
        <v>294</v>
      </c>
      <c r="E19" s="29"/>
      <c r="F19" s="16"/>
      <c r="G19" s="16"/>
      <c r="H19" s="37" t="s">
        <v>291</v>
      </c>
    </row>
    <row r="20" customFormat="false" ht="15" hidden="false" customHeight="false" outlineLevel="0" collapsed="false">
      <c r="A20" s="14" t="s">
        <v>295</v>
      </c>
      <c r="B20" s="16"/>
      <c r="C20" s="16"/>
      <c r="D20" s="28" t="n">
        <v>-8250000</v>
      </c>
      <c r="E20" s="16"/>
      <c r="F20" s="16"/>
      <c r="G20" s="16"/>
      <c r="H20" s="37" t="s">
        <v>296</v>
      </c>
    </row>
    <row r="21" customFormat="false" ht="15" hidden="false" customHeight="false" outlineLevel="0" collapsed="false">
      <c r="A21" s="14" t="s">
        <v>297</v>
      </c>
      <c r="B21" s="16"/>
      <c r="C21" s="16"/>
      <c r="D21" s="17" t="n">
        <f aca="false">200000000*0.0825/2</f>
        <v>8250000</v>
      </c>
      <c r="E21" s="16"/>
      <c r="F21" s="16"/>
      <c r="G21" s="16"/>
      <c r="H21" s="37" t="s">
        <v>298</v>
      </c>
    </row>
    <row r="23" customFormat="false" ht="15" hidden="false" customHeight="false" outlineLevel="0" collapsed="false">
      <c r="A23" s="5" t="s">
        <v>299</v>
      </c>
      <c r="B23" s="5"/>
      <c r="C23" s="5"/>
      <c r="D23" s="5"/>
      <c r="E23" s="5"/>
      <c r="F23" s="5"/>
      <c r="G23" s="5"/>
      <c r="H23" s="5"/>
    </row>
    <row r="24" customFormat="false" ht="23.85" hidden="false" customHeight="false" outlineLevel="0" collapsed="false">
      <c r="A24" s="6" t="s">
        <v>300</v>
      </c>
      <c r="B24" s="6" t="s">
        <v>158</v>
      </c>
      <c r="C24" s="6" t="s">
        <v>301</v>
      </c>
      <c r="D24" s="6" t="s">
        <v>302</v>
      </c>
      <c r="E24" s="6" t="s">
        <v>303</v>
      </c>
      <c r="F24" s="6" t="s">
        <v>304</v>
      </c>
      <c r="G24" s="6" t="s">
        <v>305</v>
      </c>
      <c r="H24" s="6" t="s">
        <v>306</v>
      </c>
    </row>
    <row r="25" customFormat="false" ht="30" hidden="false" customHeight="true" outlineLevel="0" collapsed="false">
      <c r="A25" s="29" t="s">
        <v>307</v>
      </c>
      <c r="B25" s="29" t="s">
        <v>205</v>
      </c>
      <c r="C25" s="28" t="n">
        <v>50000000</v>
      </c>
      <c r="D25" s="28" t="n">
        <v>32000000</v>
      </c>
      <c r="E25" s="28" t="n">
        <v>18000000</v>
      </c>
      <c r="F25" s="29" t="n">
        <v>25</v>
      </c>
      <c r="G25" s="28" t="n">
        <v>685143</v>
      </c>
      <c r="H25" s="41" t="s">
        <v>308</v>
      </c>
    </row>
    <row r="26" customFormat="false" ht="30" hidden="false" customHeight="true" outlineLevel="0" collapsed="false">
      <c r="A26" s="29" t="s">
        <v>242</v>
      </c>
      <c r="B26" s="29" t="s">
        <v>173</v>
      </c>
      <c r="C26" s="28" t="n">
        <v>15000000</v>
      </c>
      <c r="D26" s="28" t="n">
        <v>9750000</v>
      </c>
      <c r="E26" s="28" t="n">
        <v>5250000</v>
      </c>
      <c r="F26" s="29" t="n">
        <v>0</v>
      </c>
      <c r="G26" s="28" t="n">
        <v>189150</v>
      </c>
      <c r="H26" s="41" t="s">
        <v>309</v>
      </c>
    </row>
  </sheetData>
  <mergeCells count="9">
    <mergeCell ref="A1:H1"/>
    <mergeCell ref="A2:H2"/>
    <mergeCell ref="A4:H4"/>
    <mergeCell ref="D6:E6"/>
    <mergeCell ref="D9:E9"/>
    <mergeCell ref="D14:G14"/>
    <mergeCell ref="A16:H16"/>
    <mergeCell ref="D19:E19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6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310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311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312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14" t="s">
        <v>313</v>
      </c>
      <c r="B5" s="28" t="n">
        <v>250000000</v>
      </c>
      <c r="C5" s="16"/>
      <c r="D5" s="16"/>
      <c r="E5" s="16"/>
      <c r="F5" s="16"/>
    </row>
    <row r="6" customFormat="false" ht="15" hidden="false" customHeight="false" outlineLevel="0" collapsed="false">
      <c r="A6" s="14" t="s">
        <v>314</v>
      </c>
      <c r="B6" s="38" t="n">
        <v>0.04425</v>
      </c>
      <c r="C6" s="16"/>
      <c r="D6" s="16"/>
      <c r="E6" s="16"/>
      <c r="F6" s="16"/>
    </row>
    <row r="7" customFormat="false" ht="15" hidden="false" customHeight="false" outlineLevel="0" collapsed="false">
      <c r="A7" s="14" t="s">
        <v>315</v>
      </c>
      <c r="B7" s="29" t="s">
        <v>316</v>
      </c>
      <c r="C7" s="29"/>
      <c r="D7" s="29"/>
      <c r="E7" s="16"/>
      <c r="F7" s="16"/>
    </row>
    <row r="8" customFormat="false" ht="15" hidden="false" customHeight="false" outlineLevel="0" collapsed="false">
      <c r="A8" s="14" t="s">
        <v>317</v>
      </c>
      <c r="B8" s="29" t="s">
        <v>318</v>
      </c>
      <c r="C8" s="29"/>
      <c r="D8" s="29"/>
      <c r="E8" s="16"/>
      <c r="F8" s="16"/>
    </row>
    <row r="9" customFormat="false" ht="15" hidden="false" customHeight="false" outlineLevel="0" collapsed="false">
      <c r="A9" s="14" t="s">
        <v>319</v>
      </c>
      <c r="B9" s="29" t="s">
        <v>320</v>
      </c>
      <c r="C9" s="29"/>
      <c r="D9" s="29"/>
      <c r="E9" s="16"/>
      <c r="F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</row>
    <row r="11" customFormat="false" ht="15" hidden="false" customHeight="false" outlineLevel="0" collapsed="false">
      <c r="A11" s="22" t="s">
        <v>321</v>
      </c>
      <c r="B11" s="22"/>
      <c r="C11" s="22"/>
      <c r="D11" s="22"/>
      <c r="E11" s="22"/>
      <c r="F11" s="22"/>
    </row>
    <row r="12" customFormat="false" ht="15" hidden="false" customHeight="false" outlineLevel="0" collapsed="false">
      <c r="A12" s="14" t="s">
        <v>322</v>
      </c>
      <c r="B12" s="38" t="n">
        <v>0.0011448</v>
      </c>
      <c r="C12" s="16"/>
      <c r="D12" s="16"/>
      <c r="E12" s="16"/>
      <c r="F12" s="16"/>
    </row>
    <row r="13" customFormat="false" ht="15" hidden="false" customHeight="false" outlineLevel="0" collapsed="false">
      <c r="A13" s="14" t="s">
        <v>323</v>
      </c>
      <c r="B13" s="38" t="n">
        <v>0.00026161</v>
      </c>
      <c r="C13" s="16"/>
      <c r="D13" s="16"/>
      <c r="E13" s="16"/>
      <c r="F13" s="16"/>
    </row>
    <row r="14" customFormat="false" ht="15" hidden="false" customHeight="false" outlineLevel="0" collapsed="false">
      <c r="A14" s="18" t="s">
        <v>324</v>
      </c>
      <c r="B14" s="19" t="n">
        <f aca="false">B13-B12</f>
        <v>-0.00088319</v>
      </c>
      <c r="C14" s="16"/>
      <c r="D14" s="16"/>
      <c r="E14" s="16"/>
      <c r="F14" s="42" t="s">
        <v>325</v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22" t="s">
        <v>326</v>
      </c>
      <c r="B16" s="22"/>
      <c r="C16" s="22"/>
      <c r="D16" s="22"/>
      <c r="E16" s="22"/>
      <c r="F16" s="22"/>
    </row>
    <row r="17" customFormat="false" ht="15" hidden="false" customHeight="false" outlineLevel="0" collapsed="false">
      <c r="A17" s="14" t="s">
        <v>327</v>
      </c>
      <c r="B17" s="28" t="n">
        <v>500000000</v>
      </c>
      <c r="C17" s="16"/>
      <c r="D17" s="16"/>
      <c r="E17" s="16"/>
      <c r="F17" s="16"/>
    </row>
    <row r="18" customFormat="false" ht="15" hidden="false" customHeight="false" outlineLevel="0" collapsed="false">
      <c r="A18" s="14" t="s">
        <v>328</v>
      </c>
      <c r="B18" s="28" t="n">
        <v>350000000</v>
      </c>
      <c r="C18" s="16"/>
      <c r="D18" s="16"/>
      <c r="E18" s="16"/>
      <c r="F18" s="16"/>
    </row>
    <row r="19" customFormat="false" ht="15" hidden="false" customHeight="false" outlineLevel="0" collapsed="false">
      <c r="A19" s="14" t="s">
        <v>329</v>
      </c>
      <c r="B19" s="28" t="n">
        <v>250000000</v>
      </c>
      <c r="C19" s="16"/>
      <c r="D19" s="16"/>
      <c r="E19" s="16"/>
      <c r="F19" s="16"/>
    </row>
    <row r="20" customFormat="false" ht="15" hidden="false" customHeight="false" outlineLevel="0" collapsed="false">
      <c r="A20" s="18" t="s">
        <v>330</v>
      </c>
      <c r="B20" s="17" t="n">
        <f aca="false">B18-B19</f>
        <v>100000000</v>
      </c>
      <c r="C20" s="16"/>
      <c r="D20" s="16"/>
      <c r="E20" s="16"/>
      <c r="F20" s="42" t="s">
        <v>331</v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</row>
    <row r="22" customFormat="false" ht="15" hidden="false" customHeight="false" outlineLevel="0" collapsed="false">
      <c r="A22" s="22" t="s">
        <v>332</v>
      </c>
      <c r="B22" s="22"/>
      <c r="C22" s="22"/>
      <c r="D22" s="22"/>
      <c r="E22" s="22"/>
      <c r="F22" s="22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42" t="s">
        <v>333</v>
      </c>
    </row>
    <row r="24" customFormat="false" ht="15" hidden="false" customHeight="false" outlineLevel="0" collapsed="false">
      <c r="A24" s="14" t="s">
        <v>334</v>
      </c>
      <c r="B24" s="28" t="n">
        <v>-3842000</v>
      </c>
      <c r="C24" s="16"/>
      <c r="D24" s="16"/>
      <c r="E24" s="16"/>
      <c r="F24" s="43" t="s">
        <v>335</v>
      </c>
    </row>
    <row r="25" customFormat="false" ht="15" hidden="false" customHeight="false" outlineLevel="0" collapsed="false">
      <c r="A25" s="14" t="s">
        <v>336</v>
      </c>
      <c r="B25" s="28" t="n">
        <v>-287000</v>
      </c>
      <c r="C25" s="16"/>
      <c r="D25" s="16"/>
      <c r="E25" s="16"/>
      <c r="F25" s="43" t="s">
        <v>337</v>
      </c>
    </row>
    <row r="26" customFormat="false" ht="15" hidden="false" customHeight="false" outlineLevel="0" collapsed="false">
      <c r="A26" s="14" t="s">
        <v>338</v>
      </c>
      <c r="B26" s="28" t="n">
        <v>-1725000</v>
      </c>
      <c r="C26" s="16"/>
      <c r="D26" s="16"/>
      <c r="E26" s="16"/>
      <c r="F26" s="43" t="s">
        <v>339</v>
      </c>
    </row>
    <row r="27" customFormat="false" ht="15" hidden="false" customHeight="false" outlineLevel="0" collapsed="false">
      <c r="A27" s="14" t="s">
        <v>340</v>
      </c>
      <c r="B27" s="28" t="n">
        <v>1250000</v>
      </c>
      <c r="C27" s="16"/>
      <c r="D27" s="16"/>
      <c r="E27" s="16"/>
      <c r="F27" s="43" t="s">
        <v>341</v>
      </c>
    </row>
    <row r="28" customFormat="false" ht="15" hidden="false" customHeight="false" outlineLevel="0" collapsed="false">
      <c r="A28" s="14" t="s">
        <v>342</v>
      </c>
      <c r="B28" s="28" t="n">
        <v>-5250000</v>
      </c>
      <c r="C28" s="16"/>
      <c r="D28" s="16"/>
      <c r="E28" s="16"/>
      <c r="F28" s="43" t="s">
        <v>280</v>
      </c>
    </row>
    <row r="29" customFormat="false" ht="15" hidden="false" customHeight="false" outlineLevel="0" collapsed="false">
      <c r="A29" s="14" t="s">
        <v>343</v>
      </c>
      <c r="B29" s="39" t="s">
        <v>344</v>
      </c>
      <c r="C29" s="39"/>
      <c r="D29" s="39"/>
      <c r="E29" s="39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8" t="s">
        <v>345</v>
      </c>
      <c r="B31" s="16"/>
      <c r="C31" s="16"/>
      <c r="D31" s="16"/>
      <c r="E31" s="16"/>
      <c r="F31" s="16"/>
    </row>
    <row r="32" customFormat="false" ht="90" hidden="false" customHeight="true" outlineLevel="0" collapsed="false">
      <c r="A32" s="8" t="s">
        <v>346</v>
      </c>
      <c r="B32" s="8"/>
      <c r="C32" s="8"/>
      <c r="D32" s="8"/>
      <c r="E32" s="8"/>
      <c r="F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</row>
  </sheetData>
  <mergeCells count="11">
    <mergeCell ref="A1:F1"/>
    <mergeCell ref="A2:F2"/>
    <mergeCell ref="A4:F4"/>
    <mergeCell ref="B7:D7"/>
    <mergeCell ref="B8:D8"/>
    <mergeCell ref="B9:D9"/>
    <mergeCell ref="A11:F11"/>
    <mergeCell ref="A16:F16"/>
    <mergeCell ref="A22:F22"/>
    <mergeCell ref="B29:E29"/>
    <mergeCell ref="A32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42"/>
  </cols>
  <sheetData>
    <row r="1" customFormat="false" ht="21.75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6" t="s">
        <v>349</v>
      </c>
      <c r="B4" s="6" t="s">
        <v>350</v>
      </c>
      <c r="C4" s="6" t="s">
        <v>313</v>
      </c>
      <c r="D4" s="6" t="s">
        <v>351</v>
      </c>
      <c r="E4" s="6" t="s">
        <v>352</v>
      </c>
      <c r="F4" s="6" t="s">
        <v>353</v>
      </c>
      <c r="G4" s="6" t="s">
        <v>354</v>
      </c>
      <c r="H4" s="6" t="s">
        <v>2</v>
      </c>
      <c r="I4" s="6" t="s">
        <v>306</v>
      </c>
    </row>
    <row r="5" customFormat="false" ht="54.75" hidden="false" customHeight="true" outlineLevel="0" collapsed="false">
      <c r="A5" s="29" t="s">
        <v>355</v>
      </c>
      <c r="B5" s="29" t="s">
        <v>173</v>
      </c>
      <c r="C5" s="28" t="n">
        <v>25000000</v>
      </c>
      <c r="D5" s="29" t="s">
        <v>356</v>
      </c>
      <c r="E5" s="29" t="n">
        <v>100</v>
      </c>
      <c r="F5" s="28" t="n">
        <v>0</v>
      </c>
      <c r="G5" s="28" t="n">
        <v>-62500</v>
      </c>
      <c r="H5" s="29" t="s">
        <v>357</v>
      </c>
      <c r="I5" s="21" t="s">
        <v>358</v>
      </c>
    </row>
    <row r="6" customFormat="false" ht="54.75" hidden="false" customHeight="true" outlineLevel="0" collapsed="false">
      <c r="A6" s="29" t="s">
        <v>359</v>
      </c>
      <c r="B6" s="29" t="s">
        <v>201</v>
      </c>
      <c r="C6" s="28" t="n">
        <v>40000000</v>
      </c>
      <c r="D6" s="29" t="s">
        <v>356</v>
      </c>
      <c r="E6" s="29" t="n">
        <v>250</v>
      </c>
      <c r="F6" s="28" t="n">
        <v>1245000</v>
      </c>
      <c r="G6" s="28" t="n">
        <v>-250000</v>
      </c>
      <c r="H6" s="29" t="s">
        <v>360</v>
      </c>
      <c r="I6" s="21" t="s">
        <v>361</v>
      </c>
    </row>
    <row r="7" customFormat="false" ht="54.75" hidden="false" customHeight="true" outlineLevel="0" collapsed="false">
      <c r="A7" s="29" t="s">
        <v>362</v>
      </c>
      <c r="B7" s="29" t="s">
        <v>363</v>
      </c>
      <c r="C7" s="28" t="n">
        <v>30000000</v>
      </c>
      <c r="D7" s="29" t="s">
        <v>364</v>
      </c>
      <c r="E7" s="29" t="n">
        <v>380</v>
      </c>
      <c r="F7" s="28" t="n">
        <v>-720000</v>
      </c>
      <c r="G7" s="28" t="n">
        <v>285000</v>
      </c>
      <c r="H7" s="29" t="s">
        <v>365</v>
      </c>
      <c r="I7" s="21" t="s">
        <v>366</v>
      </c>
    </row>
    <row r="9" customFormat="false" ht="15" hidden="false" customHeight="false" outlineLevel="0" collapsed="false">
      <c r="A9" s="5" t="s">
        <v>367</v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14" t="s">
        <v>313</v>
      </c>
      <c r="B10" s="28" t="n">
        <v>25000000</v>
      </c>
      <c r="C10" s="16"/>
      <c r="D10" s="16"/>
    </row>
    <row r="11" customFormat="false" ht="15" hidden="false" customHeight="false" outlineLevel="0" collapsed="false">
      <c r="A11" s="14" t="s">
        <v>368</v>
      </c>
      <c r="B11" s="38" t="n">
        <v>0.4225</v>
      </c>
      <c r="C11" s="16"/>
      <c r="D11" s="16"/>
    </row>
    <row r="12" customFormat="false" ht="15" hidden="false" customHeight="false" outlineLevel="0" collapsed="false">
      <c r="A12" s="14" t="s">
        <v>369</v>
      </c>
      <c r="B12" s="17" t="n">
        <f aca="false">B10*B11</f>
        <v>10562500</v>
      </c>
      <c r="C12" s="16"/>
      <c r="D12" s="16"/>
    </row>
    <row r="13" customFormat="false" ht="15" hidden="false" customHeight="false" outlineLevel="0" collapsed="false">
      <c r="A13" s="14" t="s">
        <v>370</v>
      </c>
      <c r="B13" s="17" t="n">
        <f aca="false">B10*(1-B11)</f>
        <v>14437500</v>
      </c>
      <c r="C13" s="16"/>
      <c r="D13" s="16"/>
    </row>
    <row r="14" customFormat="false" ht="15" hidden="false" customHeight="false" outlineLevel="0" collapsed="false">
      <c r="A14" s="14" t="s">
        <v>371</v>
      </c>
      <c r="B14" s="29" t="s">
        <v>372</v>
      </c>
      <c r="C14" s="29"/>
      <c r="D14" s="29"/>
    </row>
    <row r="15" customFormat="false" ht="15" hidden="false" customHeight="false" outlineLevel="0" collapsed="false">
      <c r="A15" s="16"/>
      <c r="B15" s="16"/>
      <c r="C15" s="16"/>
      <c r="D15" s="16"/>
    </row>
    <row r="16" customFormat="false" ht="15" hidden="false" customHeight="false" outlineLevel="0" collapsed="false">
      <c r="A16" s="40" t="s">
        <v>373</v>
      </c>
      <c r="B16" s="40"/>
      <c r="C16" s="40"/>
      <c r="D16" s="40"/>
      <c r="E16" s="40"/>
      <c r="F16" s="40"/>
      <c r="G16" s="40"/>
      <c r="H16" s="40"/>
      <c r="I16" s="40"/>
    </row>
    <row r="17" customFormat="false" ht="15" hidden="false" customHeight="false" outlineLevel="0" collapsed="false">
      <c r="A17" s="14" t="s">
        <v>374</v>
      </c>
      <c r="B17" s="28" t="n">
        <v>25000000</v>
      </c>
      <c r="C17" s="16"/>
      <c r="D17" s="16"/>
    </row>
    <row r="18" customFormat="false" ht="15" hidden="false" customHeight="false" outlineLevel="0" collapsed="false">
      <c r="A18" s="14" t="s">
        <v>375</v>
      </c>
      <c r="B18" s="38" t="n">
        <v>0.4225</v>
      </c>
      <c r="C18" s="16"/>
      <c r="D18" s="16"/>
    </row>
    <row r="19" customFormat="false" ht="15" hidden="false" customHeight="false" outlineLevel="0" collapsed="false">
      <c r="A19" s="14" t="s">
        <v>376</v>
      </c>
      <c r="B19" s="17" t="n">
        <f aca="false">B17*(1-B18)</f>
        <v>14437500</v>
      </c>
      <c r="C19" s="16"/>
      <c r="D19" s="16"/>
    </row>
    <row r="20" customFormat="false" ht="15" hidden="false" customHeight="false" outlineLevel="0" collapsed="false">
      <c r="A20" s="14" t="s">
        <v>377</v>
      </c>
      <c r="B20" s="17" t="n">
        <f aca="false">B13</f>
        <v>14437500</v>
      </c>
      <c r="C20" s="16"/>
      <c r="D20" s="16"/>
    </row>
    <row r="21" customFormat="false" ht="15" hidden="false" customHeight="false" outlineLevel="0" collapsed="false">
      <c r="A21" s="14" t="s">
        <v>378</v>
      </c>
      <c r="B21" s="17" t="n">
        <f aca="false">B20-B19</f>
        <v>0</v>
      </c>
      <c r="C21" s="16"/>
      <c r="D21" s="16"/>
    </row>
    <row r="22" customFormat="false" ht="30" hidden="false" customHeight="true" outlineLevel="0" collapsed="false">
      <c r="A22" s="44" t="s">
        <v>379</v>
      </c>
      <c r="B22" s="44"/>
      <c r="C22" s="44"/>
      <c r="D22" s="44"/>
      <c r="E22" s="44"/>
      <c r="F22" s="44"/>
      <c r="G22" s="44"/>
      <c r="H22" s="44"/>
      <c r="I22" s="44"/>
    </row>
  </sheetData>
  <mergeCells count="6">
    <mergeCell ref="A1:I1"/>
    <mergeCell ref="A2:I2"/>
    <mergeCell ref="A9:I9"/>
    <mergeCell ref="B14:D14"/>
    <mergeCell ref="A16:I16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44"/>
  </cols>
  <sheetData>
    <row r="1" customFormat="false" ht="21.75" hidden="false" customHeight="true" outlineLevel="0" collapsed="false">
      <c r="A1" s="1" t="s">
        <v>380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381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6" t="s">
        <v>382</v>
      </c>
      <c r="B4" s="6" t="s">
        <v>383</v>
      </c>
      <c r="C4" s="6" t="s">
        <v>384</v>
      </c>
      <c r="D4" s="6" t="s">
        <v>385</v>
      </c>
      <c r="E4" s="6" t="s">
        <v>386</v>
      </c>
      <c r="F4" s="6" t="s">
        <v>387</v>
      </c>
      <c r="G4" s="6" t="s">
        <v>388</v>
      </c>
      <c r="H4" s="6" t="s">
        <v>389</v>
      </c>
      <c r="I4" s="6" t="s">
        <v>390</v>
      </c>
    </row>
    <row r="5" customFormat="false" ht="69.75" hidden="false" customHeight="true" outlineLevel="0" collapsed="false">
      <c r="A5" s="29" t="s">
        <v>391</v>
      </c>
      <c r="B5" s="29" t="s">
        <v>392</v>
      </c>
      <c r="C5" s="45" t="s">
        <v>393</v>
      </c>
      <c r="D5" s="30" t="n">
        <v>22400000</v>
      </c>
      <c r="E5" s="31" t="n">
        <v>1.36</v>
      </c>
      <c r="F5" s="31" t="n">
        <v>1.2585</v>
      </c>
      <c r="G5" s="28" t="n">
        <v>-2273600</v>
      </c>
      <c r="H5" s="45" t="s">
        <v>394</v>
      </c>
      <c r="I5" s="21" t="s">
        <v>395</v>
      </c>
    </row>
    <row r="6" customFormat="false" ht="69.75" hidden="false" customHeight="true" outlineLevel="0" collapsed="false">
      <c r="A6" s="29" t="s">
        <v>396</v>
      </c>
      <c r="B6" s="29" t="s">
        <v>397</v>
      </c>
      <c r="C6" s="45" t="s">
        <v>398</v>
      </c>
      <c r="D6" s="30" t="n">
        <v>2400000000</v>
      </c>
      <c r="E6" s="31" t="n">
        <v>152</v>
      </c>
      <c r="F6" s="31" t="n">
        <v>156.85</v>
      </c>
      <c r="G6" s="28" t="n">
        <v>-493860</v>
      </c>
      <c r="H6" s="45" t="s">
        <v>399</v>
      </c>
      <c r="I6" s="21" t="s">
        <v>400</v>
      </c>
    </row>
    <row r="7" customFormat="false" ht="69.75" hidden="false" customHeight="true" outlineLevel="0" collapsed="false">
      <c r="A7" s="29" t="s">
        <v>401</v>
      </c>
      <c r="B7" s="29" t="s">
        <v>402</v>
      </c>
      <c r="C7" s="45" t="s">
        <v>403</v>
      </c>
      <c r="D7" s="30" t="n">
        <v>4750000</v>
      </c>
      <c r="E7" s="31" t="n">
        <v>1.085</v>
      </c>
      <c r="F7" s="31" t="n">
        <v>1.0655</v>
      </c>
      <c r="G7" s="28" t="n">
        <v>-92625</v>
      </c>
      <c r="H7" s="45" t="s">
        <v>404</v>
      </c>
      <c r="I7" s="21" t="s">
        <v>405</v>
      </c>
    </row>
    <row r="9" customFormat="false" ht="15" hidden="false" customHeight="false" outlineLevel="0" collapsed="false">
      <c r="A9" s="5" t="s">
        <v>406</v>
      </c>
      <c r="B9" s="5"/>
      <c r="C9" s="5"/>
      <c r="D9" s="5"/>
      <c r="E9" s="5"/>
      <c r="F9" s="5"/>
      <c r="G9" s="5"/>
      <c r="H9" s="5"/>
      <c r="I9" s="5"/>
    </row>
    <row r="10" customFormat="false" ht="23.85" hidden="false" customHeight="false" outlineLevel="0" collapsed="false">
      <c r="A10" s="6" t="s">
        <v>104</v>
      </c>
      <c r="B10" s="6" t="s">
        <v>407</v>
      </c>
      <c r="C10" s="6" t="s">
        <v>408</v>
      </c>
      <c r="D10" s="6" t="s">
        <v>409</v>
      </c>
      <c r="E10" s="6" t="s">
        <v>410</v>
      </c>
    </row>
    <row r="11" customFormat="false" ht="45" hidden="false" customHeight="true" outlineLevel="0" collapsed="false">
      <c r="A11" s="11" t="s">
        <v>411</v>
      </c>
      <c r="B11" s="46" t="s">
        <v>412</v>
      </c>
      <c r="C11" s="46" t="s">
        <v>413</v>
      </c>
      <c r="D11" s="47" t="s">
        <v>414</v>
      </c>
      <c r="E11" s="48" t="s">
        <v>415</v>
      </c>
      <c r="F11" s="48"/>
      <c r="G11" s="48"/>
      <c r="H11" s="48"/>
      <c r="I11" s="48"/>
    </row>
    <row r="12" customFormat="false" ht="45" hidden="false" customHeight="true" outlineLevel="0" collapsed="false">
      <c r="A12" s="11" t="s">
        <v>416</v>
      </c>
      <c r="B12" s="46" t="s">
        <v>417</v>
      </c>
      <c r="C12" s="46" t="s">
        <v>418</v>
      </c>
      <c r="D12" s="49" t="s">
        <v>419</v>
      </c>
      <c r="E12" s="48" t="s">
        <v>420</v>
      </c>
      <c r="F12" s="48"/>
      <c r="G12" s="48"/>
      <c r="H12" s="48"/>
      <c r="I12" s="48"/>
    </row>
    <row r="13" customFormat="false" ht="45" hidden="false" customHeight="true" outlineLevel="0" collapsed="false">
      <c r="A13" s="11" t="s">
        <v>421</v>
      </c>
      <c r="B13" s="46" t="s">
        <v>422</v>
      </c>
      <c r="C13" s="46" t="s">
        <v>423</v>
      </c>
      <c r="D13" s="50" t="s">
        <v>424</v>
      </c>
      <c r="E13" s="48" t="s">
        <v>425</v>
      </c>
      <c r="F13" s="48"/>
      <c r="G13" s="48"/>
      <c r="H13" s="48"/>
      <c r="I13" s="48"/>
    </row>
  </sheetData>
  <mergeCells count="6">
    <mergeCell ref="A1:I1"/>
    <mergeCell ref="A2:I2"/>
    <mergeCell ref="A9:I9"/>
    <mergeCell ref="E11:I11"/>
    <mergeCell ref="E12:I12"/>
    <mergeCell ref="E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 t="s">
        <v>426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427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428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429</v>
      </c>
      <c r="B5" s="6" t="s">
        <v>430</v>
      </c>
      <c r="C5" s="6" t="s">
        <v>431</v>
      </c>
      <c r="D5" s="6" t="s">
        <v>432</v>
      </c>
      <c r="E5" s="6" t="s">
        <v>433</v>
      </c>
      <c r="F5" s="6" t="s">
        <v>434</v>
      </c>
      <c r="G5" s="6" t="s">
        <v>435</v>
      </c>
      <c r="H5" s="6" t="s">
        <v>306</v>
      </c>
    </row>
    <row r="6" customFormat="false" ht="31.5" hidden="false" customHeight="true" outlineLevel="0" collapsed="false">
      <c r="A6" s="29" t="s">
        <v>436</v>
      </c>
      <c r="B6" s="29" t="s">
        <v>437</v>
      </c>
      <c r="C6" s="29" t="s">
        <v>438</v>
      </c>
      <c r="D6" s="29" t="s">
        <v>439</v>
      </c>
      <c r="E6" s="29" t="n">
        <v>-500</v>
      </c>
      <c r="F6" s="51" t="n">
        <v>12</v>
      </c>
      <c r="G6" s="28" t="n">
        <v>-2500</v>
      </c>
      <c r="H6" s="21" t="s">
        <v>440</v>
      </c>
    </row>
    <row r="7" customFormat="false" ht="31.5" hidden="false" customHeight="true" outlineLevel="0" collapsed="false">
      <c r="A7" s="29" t="s">
        <v>436</v>
      </c>
      <c r="B7" s="29" t="s">
        <v>437</v>
      </c>
      <c r="C7" s="29" t="s">
        <v>438</v>
      </c>
      <c r="D7" s="29" t="s">
        <v>441</v>
      </c>
      <c r="E7" s="29" t="n">
        <v>500</v>
      </c>
      <c r="F7" s="51" t="n">
        <v>7.5</v>
      </c>
      <c r="G7" s="28" t="n">
        <v>42500</v>
      </c>
      <c r="H7" s="21" t="s">
        <v>442</v>
      </c>
    </row>
    <row r="8" customFormat="false" ht="31.5" hidden="false" customHeight="true" outlineLevel="0" collapsed="false">
      <c r="A8" s="29" t="s">
        <v>443</v>
      </c>
      <c r="B8" s="29" t="s">
        <v>201</v>
      </c>
      <c r="C8" s="29" t="s">
        <v>438</v>
      </c>
      <c r="D8" s="29" t="s">
        <v>439</v>
      </c>
      <c r="E8" s="29" t="n">
        <v>200</v>
      </c>
      <c r="F8" s="51" t="n">
        <v>85</v>
      </c>
      <c r="G8" s="28" t="n">
        <v>157000</v>
      </c>
      <c r="H8" s="21" t="s">
        <v>444</v>
      </c>
    </row>
    <row r="9" customFormat="false" ht="31.5" hidden="false" customHeight="true" outlineLevel="0" collapsed="false">
      <c r="A9" s="29" t="s">
        <v>443</v>
      </c>
      <c r="B9" s="29" t="s">
        <v>201</v>
      </c>
      <c r="C9" s="29" t="s">
        <v>438</v>
      </c>
      <c r="D9" s="29" t="s">
        <v>441</v>
      </c>
      <c r="E9" s="29" t="n">
        <v>-200</v>
      </c>
      <c r="F9" s="51" t="n">
        <v>75</v>
      </c>
      <c r="G9" s="28" t="n">
        <v>-24000</v>
      </c>
      <c r="H9" s="21" t="s">
        <v>445</v>
      </c>
    </row>
    <row r="10" customFormat="false" ht="31.5" hidden="false" customHeight="true" outlineLevel="0" collapsed="false">
      <c r="A10" s="29" t="s">
        <v>446</v>
      </c>
      <c r="B10" s="29" t="s">
        <v>447</v>
      </c>
      <c r="C10" s="29" t="s">
        <v>438</v>
      </c>
      <c r="D10" s="29" t="s">
        <v>439</v>
      </c>
      <c r="E10" s="29" t="n">
        <v>-800</v>
      </c>
      <c r="F10" s="51" t="n">
        <v>22.5</v>
      </c>
      <c r="G10" s="28" t="n">
        <v>-132000</v>
      </c>
      <c r="H10" s="21" t="s">
        <v>448</v>
      </c>
    </row>
    <row r="11" customFormat="false" ht="31.5" hidden="false" customHeight="true" outlineLevel="0" collapsed="false">
      <c r="A11" s="29" t="s">
        <v>449</v>
      </c>
      <c r="B11" s="29" t="s">
        <v>450</v>
      </c>
      <c r="C11" s="29" t="s">
        <v>451</v>
      </c>
      <c r="D11" s="29" t="s">
        <v>441</v>
      </c>
      <c r="E11" s="29" t="n">
        <v>1</v>
      </c>
      <c r="F11" s="51" t="n">
        <v>4.2</v>
      </c>
      <c r="G11" s="28" t="n">
        <v>65442</v>
      </c>
      <c r="H11" s="21" t="s">
        <v>452</v>
      </c>
    </row>
    <row r="12" customFormat="false" ht="31.5" hidden="false" customHeight="true" outlineLevel="0" collapsed="false">
      <c r="A12" s="29" t="s">
        <v>453</v>
      </c>
      <c r="B12" s="29" t="s">
        <v>197</v>
      </c>
      <c r="C12" s="29" t="s">
        <v>438</v>
      </c>
      <c r="D12" s="29" t="s">
        <v>439</v>
      </c>
      <c r="E12" s="29" t="n">
        <v>300</v>
      </c>
      <c r="F12" s="51" t="n">
        <v>18</v>
      </c>
      <c r="G12" s="28" t="n">
        <v>19500</v>
      </c>
      <c r="H12" s="21" t="s">
        <v>454</v>
      </c>
    </row>
    <row r="13" customFormat="false" ht="31.5" hidden="false" customHeight="true" outlineLevel="0" collapsed="false">
      <c r="A13" s="29" t="s">
        <v>455</v>
      </c>
      <c r="B13" s="29" t="s">
        <v>205</v>
      </c>
      <c r="C13" s="29" t="s">
        <v>451</v>
      </c>
      <c r="D13" s="29" t="s">
        <v>439</v>
      </c>
      <c r="E13" s="29" t="n">
        <v>1</v>
      </c>
      <c r="F13" s="51" t="n">
        <v>100</v>
      </c>
      <c r="G13" s="28" t="n">
        <v>0</v>
      </c>
      <c r="H13" s="21" t="s">
        <v>456</v>
      </c>
    </row>
    <row r="14" customFormat="false" ht="15" hidden="false" customHeight="false" outlineLevel="0" collapsed="false">
      <c r="A14" s="18" t="s">
        <v>457</v>
      </c>
      <c r="B14" s="18"/>
      <c r="C14" s="18"/>
      <c r="D14" s="18"/>
      <c r="E14" s="18"/>
      <c r="F14" s="18"/>
      <c r="G14" s="35" t="n">
        <f aca="false">SUM(G6:G13)</f>
        <v>125942</v>
      </c>
      <c r="H14" s="16"/>
    </row>
    <row r="16" customFormat="false" ht="15" hidden="false" customHeight="false" outlineLevel="0" collapsed="false">
      <c r="A16" s="5" t="s">
        <v>458</v>
      </c>
      <c r="B16" s="5"/>
      <c r="C16" s="5"/>
      <c r="D16" s="5"/>
      <c r="E16" s="5"/>
      <c r="F16" s="5"/>
      <c r="G16" s="5"/>
      <c r="H16" s="5"/>
    </row>
    <row r="17" customFormat="false" ht="23.85" hidden="false" customHeight="false" outlineLevel="0" collapsed="false">
      <c r="A17" s="6" t="s">
        <v>459</v>
      </c>
      <c r="B17" s="6" t="s">
        <v>460</v>
      </c>
      <c r="C17" s="6" t="s">
        <v>461</v>
      </c>
      <c r="D17" s="6" t="s">
        <v>462</v>
      </c>
      <c r="H17" s="52" t="s">
        <v>306</v>
      </c>
    </row>
    <row r="18" customFormat="false" ht="31.5" hidden="false" customHeight="true" outlineLevel="0" collapsed="false">
      <c r="A18" s="29" t="s">
        <v>463</v>
      </c>
      <c r="B18" s="29" t="s">
        <v>464</v>
      </c>
      <c r="C18" s="29" t="s">
        <v>465</v>
      </c>
      <c r="D18" s="28" t="n">
        <v>-17500</v>
      </c>
      <c r="E18" s="21" t="s">
        <v>466</v>
      </c>
      <c r="F18" s="21"/>
      <c r="G18" s="21"/>
      <c r="H18" s="21"/>
    </row>
    <row r="19" customFormat="false" ht="31.5" hidden="false" customHeight="true" outlineLevel="0" collapsed="false">
      <c r="A19" s="29" t="s">
        <v>467</v>
      </c>
      <c r="B19" s="29" t="s">
        <v>468</v>
      </c>
      <c r="C19" s="29" t="s">
        <v>469</v>
      </c>
      <c r="D19" s="28" t="n">
        <v>66000</v>
      </c>
      <c r="E19" s="21" t="s">
        <v>470</v>
      </c>
      <c r="F19" s="21"/>
      <c r="G19" s="21"/>
      <c r="H19" s="21"/>
    </row>
    <row r="20" customFormat="false" ht="31.5" hidden="false" customHeight="true" outlineLevel="0" collapsed="false">
      <c r="A20" s="29" t="s">
        <v>471</v>
      </c>
      <c r="B20" s="29" t="s">
        <v>472</v>
      </c>
      <c r="C20" s="29" t="s">
        <v>473</v>
      </c>
      <c r="D20" s="28" t="n">
        <v>-38000</v>
      </c>
      <c r="E20" s="21" t="s">
        <v>466</v>
      </c>
      <c r="F20" s="21"/>
      <c r="G20" s="21"/>
      <c r="H20" s="21"/>
    </row>
    <row r="21" customFormat="false" ht="31.5" hidden="false" customHeight="true" outlineLevel="0" collapsed="false">
      <c r="A21" s="29" t="s">
        <v>474</v>
      </c>
      <c r="B21" s="29" t="s">
        <v>475</v>
      </c>
      <c r="C21" s="29" t="s">
        <v>476</v>
      </c>
      <c r="D21" s="28" t="n">
        <v>0</v>
      </c>
      <c r="E21" s="21" t="s">
        <v>477</v>
      </c>
      <c r="F21" s="21"/>
      <c r="G21" s="21"/>
      <c r="H21" s="21"/>
    </row>
    <row r="22" customFormat="false" ht="15" hidden="false" customHeight="false" outlineLevel="0" collapsed="false">
      <c r="A22" s="18" t="s">
        <v>478</v>
      </c>
      <c r="B22" s="18"/>
      <c r="C22" s="18"/>
      <c r="D22" s="35" t="n">
        <f aca="false">SUM(D18:D21)</f>
        <v>10500</v>
      </c>
    </row>
  </sheetData>
  <mergeCells count="10">
    <mergeCell ref="A1:H1"/>
    <mergeCell ref="A2:H2"/>
    <mergeCell ref="A4:H4"/>
    <mergeCell ref="A14:F14"/>
    <mergeCell ref="A16:H16"/>
    <mergeCell ref="E18:H18"/>
    <mergeCell ref="E19:H19"/>
    <mergeCell ref="E20:H20"/>
    <mergeCell ref="E21:H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 t="s">
        <v>479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480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6" t="s">
        <v>481</v>
      </c>
      <c r="B4" s="6" t="s">
        <v>482</v>
      </c>
      <c r="C4" s="6" t="s">
        <v>483</v>
      </c>
      <c r="D4" s="6" t="s">
        <v>160</v>
      </c>
      <c r="E4" s="6" t="s">
        <v>484</v>
      </c>
      <c r="F4" s="6" t="s">
        <v>485</v>
      </c>
      <c r="G4" s="6" t="s">
        <v>486</v>
      </c>
      <c r="H4" s="6" t="s">
        <v>306</v>
      </c>
    </row>
    <row r="5" customFormat="false" ht="45" hidden="false" customHeight="true" outlineLevel="0" collapsed="false">
      <c r="A5" s="29" t="s">
        <v>487</v>
      </c>
      <c r="B5" s="29" t="s">
        <v>488</v>
      </c>
      <c r="C5" s="29" t="s">
        <v>489</v>
      </c>
      <c r="D5" s="29" t="s">
        <v>175</v>
      </c>
      <c r="E5" s="30" t="n">
        <v>142000</v>
      </c>
      <c r="F5" s="28" t="n">
        <v>142000</v>
      </c>
      <c r="G5" s="17" t="n">
        <f aca="false">F5*12</f>
        <v>1704000</v>
      </c>
      <c r="H5" s="21" t="s">
        <v>490</v>
      </c>
    </row>
    <row r="6" customFormat="false" ht="45" hidden="false" customHeight="true" outlineLevel="0" collapsed="false">
      <c r="A6" s="29" t="s">
        <v>491</v>
      </c>
      <c r="B6" s="29" t="s">
        <v>492</v>
      </c>
      <c r="C6" s="29" t="s">
        <v>493</v>
      </c>
      <c r="D6" s="29" t="s">
        <v>175</v>
      </c>
      <c r="E6" s="30" t="n">
        <v>88000</v>
      </c>
      <c r="F6" s="28" t="n">
        <v>88000</v>
      </c>
      <c r="G6" s="17" t="n">
        <f aca="false">F6*12</f>
        <v>1056000</v>
      </c>
      <c r="H6" s="21" t="s">
        <v>490</v>
      </c>
    </row>
    <row r="7" customFormat="false" ht="45" hidden="false" customHeight="true" outlineLevel="0" collapsed="false">
      <c r="A7" s="29" t="s">
        <v>494</v>
      </c>
      <c r="B7" s="29" t="s">
        <v>495</v>
      </c>
      <c r="C7" s="29" t="s">
        <v>496</v>
      </c>
      <c r="D7" s="29" t="s">
        <v>175</v>
      </c>
      <c r="E7" s="30" t="n">
        <v>215000</v>
      </c>
      <c r="F7" s="28" t="n">
        <v>215000</v>
      </c>
      <c r="G7" s="17" t="n">
        <f aca="false">F7*12</f>
        <v>2580000</v>
      </c>
      <c r="H7" s="21" t="s">
        <v>490</v>
      </c>
    </row>
    <row r="8" customFormat="false" ht="45" hidden="false" customHeight="true" outlineLevel="0" collapsed="false">
      <c r="A8" s="29" t="s">
        <v>497</v>
      </c>
      <c r="B8" s="29" t="s">
        <v>498</v>
      </c>
      <c r="C8" s="29" t="s">
        <v>499</v>
      </c>
      <c r="D8" s="29" t="s">
        <v>175</v>
      </c>
      <c r="E8" s="30" t="n">
        <v>450000</v>
      </c>
      <c r="F8" s="28" t="n">
        <v>450000</v>
      </c>
      <c r="G8" s="17" t="n">
        <f aca="false">F8*4</f>
        <v>1800000</v>
      </c>
      <c r="H8" s="21" t="s">
        <v>500</v>
      </c>
    </row>
    <row r="9" customFormat="false" ht="45" hidden="false" customHeight="true" outlineLevel="0" collapsed="false">
      <c r="A9" s="29" t="s">
        <v>501</v>
      </c>
      <c r="B9" s="29" t="s">
        <v>502</v>
      </c>
      <c r="C9" s="29" t="s">
        <v>503</v>
      </c>
      <c r="D9" s="29" t="s">
        <v>175</v>
      </c>
      <c r="E9" s="30" t="n">
        <v>85000</v>
      </c>
      <c r="F9" s="28" t="n">
        <v>85000</v>
      </c>
      <c r="G9" s="17" t="n">
        <f aca="false">F9*4</f>
        <v>340000</v>
      </c>
      <c r="H9" s="21" t="s">
        <v>504</v>
      </c>
    </row>
    <row r="10" customFormat="false" ht="45" hidden="false" customHeight="true" outlineLevel="0" collapsed="false">
      <c r="A10" s="29" t="s">
        <v>505</v>
      </c>
      <c r="B10" s="29" t="s">
        <v>506</v>
      </c>
      <c r="C10" s="29" t="s">
        <v>507</v>
      </c>
      <c r="D10" s="29" t="s">
        <v>259</v>
      </c>
      <c r="E10" s="30" t="n">
        <v>32500000</v>
      </c>
      <c r="F10" s="28" t="n">
        <v>207205</v>
      </c>
      <c r="G10" s="17" t="n">
        <f aca="false">F10*4</f>
        <v>828820</v>
      </c>
      <c r="H10" s="21" t="s">
        <v>508</v>
      </c>
    </row>
    <row r="11" customFormat="false" ht="15" hidden="false" customHeight="false" outlineLevel="0" collapsed="false">
      <c r="A11" s="18" t="s">
        <v>509</v>
      </c>
      <c r="B11" s="18"/>
      <c r="C11" s="18"/>
      <c r="D11" s="18"/>
      <c r="E11" s="18"/>
      <c r="F11" s="18"/>
      <c r="G11" s="35" t="n">
        <f aca="false">SUM(G5:G10)</f>
        <v>8308820</v>
      </c>
      <c r="H11" s="16"/>
    </row>
    <row r="12" customFormat="false" ht="15" hidden="false" customHeight="false" outlineLevel="0" collapsed="false">
      <c r="A12" s="11" t="s">
        <v>510</v>
      </c>
      <c r="G12" s="53" t="n">
        <f aca="false">G8+G10</f>
        <v>2628820</v>
      </c>
    </row>
    <row r="14" customFormat="false" ht="15" hidden="false" customHeight="false" outlineLevel="0" collapsed="false">
      <c r="A14" s="5" t="s">
        <v>511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14" t="s">
        <v>512</v>
      </c>
      <c r="B15" s="28" t="n">
        <v>6275000</v>
      </c>
      <c r="C15" s="16"/>
      <c r="D15" s="16"/>
    </row>
    <row r="16" customFormat="false" ht="15" hidden="false" customHeight="false" outlineLevel="0" collapsed="false">
      <c r="A16" s="14" t="s">
        <v>513</v>
      </c>
      <c r="B16" s="28" t="n">
        <v>1800000</v>
      </c>
      <c r="C16" s="16"/>
      <c r="D16" s="16"/>
    </row>
    <row r="17" customFormat="false" ht="15" hidden="false" customHeight="false" outlineLevel="0" collapsed="false">
      <c r="A17" s="14" t="s">
        <v>514</v>
      </c>
      <c r="B17" s="17" t="n">
        <f aca="false">B15-B16</f>
        <v>4475000</v>
      </c>
      <c r="C17" s="16"/>
      <c r="D17" s="16"/>
    </row>
    <row r="18" customFormat="false" ht="15" hidden="false" customHeight="false" outlineLevel="0" collapsed="false">
      <c r="A18" s="14" t="s">
        <v>515</v>
      </c>
      <c r="B18" s="38" t="n">
        <v>0.12</v>
      </c>
      <c r="C18" s="16"/>
      <c r="D18" s="16"/>
    </row>
    <row r="19" customFormat="false" ht="15" hidden="false" customHeight="false" outlineLevel="0" collapsed="false">
      <c r="A19" s="14" t="s">
        <v>516</v>
      </c>
      <c r="B19" s="17" t="n">
        <f aca="false">B17*B18</f>
        <v>537000</v>
      </c>
      <c r="C19" s="16"/>
      <c r="D19" s="16"/>
    </row>
  </sheetData>
  <mergeCells count="4">
    <mergeCell ref="A1:H1"/>
    <mergeCell ref="A2:H2"/>
    <mergeCell ref="A11:F11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4"/>
  </cols>
  <sheetData>
    <row r="1" customFormat="false" ht="21.75" hidden="false" customHeight="true" outlineLevel="0" collapsed="false">
      <c r="A1" s="1" t="s">
        <v>517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518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519</v>
      </c>
      <c r="B4" s="6" t="s">
        <v>520</v>
      </c>
      <c r="C4" s="6" t="s">
        <v>482</v>
      </c>
      <c r="D4" s="6" t="s">
        <v>521</v>
      </c>
      <c r="E4" s="6" t="s">
        <v>522</v>
      </c>
      <c r="F4" s="6" t="s">
        <v>523</v>
      </c>
    </row>
    <row r="5" customFormat="false" ht="25.5" hidden="false" customHeight="true" outlineLevel="0" collapsed="false">
      <c r="A5" s="29" t="s">
        <v>524</v>
      </c>
      <c r="B5" s="29" t="s">
        <v>525</v>
      </c>
      <c r="C5" s="29" t="s">
        <v>526</v>
      </c>
      <c r="D5" s="28" t="n">
        <v>2172000</v>
      </c>
      <c r="E5" s="18"/>
      <c r="F5" s="21" t="s">
        <v>527</v>
      </c>
    </row>
    <row r="6" customFormat="false" ht="25.5" hidden="false" customHeight="true" outlineLevel="0" collapsed="false">
      <c r="A6" s="29" t="s">
        <v>524</v>
      </c>
      <c r="B6" s="29" t="s">
        <v>528</v>
      </c>
      <c r="C6" s="29" t="s">
        <v>526</v>
      </c>
      <c r="D6" s="28" t="n">
        <v>475000</v>
      </c>
      <c r="E6" s="18"/>
      <c r="F6" s="21" t="s">
        <v>529</v>
      </c>
    </row>
    <row r="7" customFormat="false" ht="25.5" hidden="false" customHeight="true" outlineLevel="0" collapsed="false">
      <c r="A7" s="29" t="s">
        <v>530</v>
      </c>
      <c r="B7" s="29" t="s">
        <v>531</v>
      </c>
      <c r="C7" s="29" t="s">
        <v>526</v>
      </c>
      <c r="D7" s="28" t="n">
        <v>472500</v>
      </c>
      <c r="E7" s="18"/>
      <c r="F7" s="21" t="s">
        <v>532</v>
      </c>
    </row>
    <row r="8" customFormat="false" ht="25.5" hidden="false" customHeight="true" outlineLevel="0" collapsed="false">
      <c r="A8" s="29" t="s">
        <v>530</v>
      </c>
      <c r="B8" s="29" t="s">
        <v>533</v>
      </c>
      <c r="C8" s="29" t="s">
        <v>534</v>
      </c>
      <c r="D8" s="28" t="n">
        <v>29143</v>
      </c>
      <c r="E8" s="18"/>
      <c r="F8" s="21" t="s">
        <v>535</v>
      </c>
    </row>
    <row r="9" customFormat="false" ht="25.5" hidden="false" customHeight="true" outlineLevel="0" collapsed="false">
      <c r="A9" s="29" t="s">
        <v>536</v>
      </c>
      <c r="B9" s="29" t="s">
        <v>537</v>
      </c>
      <c r="C9" s="29" t="s">
        <v>526</v>
      </c>
      <c r="D9" s="28" t="n">
        <v>262500</v>
      </c>
      <c r="E9" s="18"/>
      <c r="F9" s="21" t="s">
        <v>538</v>
      </c>
    </row>
    <row r="10" customFormat="false" ht="25.5" hidden="false" customHeight="true" outlineLevel="0" collapsed="false">
      <c r="A10" s="29" t="s">
        <v>536</v>
      </c>
      <c r="B10" s="29" t="s">
        <v>539</v>
      </c>
      <c r="C10" s="29" t="s">
        <v>526</v>
      </c>
      <c r="D10" s="28" t="n">
        <v>464625</v>
      </c>
      <c r="E10" s="18"/>
      <c r="F10" s="21" t="s">
        <v>540</v>
      </c>
    </row>
    <row r="11" customFormat="false" ht="25.5" hidden="false" customHeight="true" outlineLevel="0" collapsed="false">
      <c r="A11" s="29" t="s">
        <v>541</v>
      </c>
      <c r="B11" s="29" t="s">
        <v>542</v>
      </c>
      <c r="C11" s="29" t="s">
        <v>543</v>
      </c>
      <c r="D11" s="28" t="n">
        <v>1250000</v>
      </c>
      <c r="E11" s="54" t="s">
        <v>544</v>
      </c>
      <c r="F11" s="21" t="s">
        <v>545</v>
      </c>
    </row>
    <row r="12" customFormat="false" ht="25.5" hidden="false" customHeight="true" outlineLevel="0" collapsed="false">
      <c r="A12" s="29" t="s">
        <v>541</v>
      </c>
      <c r="B12" s="29" t="s">
        <v>546</v>
      </c>
      <c r="C12" s="29" t="s">
        <v>543</v>
      </c>
      <c r="D12" s="28" t="n">
        <v>-1725000</v>
      </c>
      <c r="E12" s="54" t="s">
        <v>547</v>
      </c>
      <c r="F12" s="21" t="s">
        <v>548</v>
      </c>
    </row>
    <row r="13" customFormat="false" ht="25.5" hidden="false" customHeight="true" outlineLevel="0" collapsed="false">
      <c r="A13" s="29" t="s">
        <v>549</v>
      </c>
      <c r="B13" s="29" t="s">
        <v>550</v>
      </c>
      <c r="C13" s="29" t="s">
        <v>551</v>
      </c>
      <c r="D13" s="28" t="n">
        <v>-5250000</v>
      </c>
      <c r="E13" s="18"/>
      <c r="F13" s="21" t="s">
        <v>552</v>
      </c>
    </row>
    <row r="14" customFormat="false" ht="25.5" hidden="false" customHeight="true" outlineLevel="0" collapsed="false">
      <c r="A14" s="29" t="s">
        <v>549</v>
      </c>
      <c r="B14" s="29" t="s">
        <v>553</v>
      </c>
      <c r="C14" s="29" t="s">
        <v>554</v>
      </c>
      <c r="D14" s="28" t="n">
        <v>-93750</v>
      </c>
      <c r="E14" s="18"/>
      <c r="F14" s="21" t="s">
        <v>555</v>
      </c>
    </row>
    <row r="15" customFormat="false" ht="25.5" hidden="false" customHeight="true" outlineLevel="0" collapsed="false">
      <c r="A15" s="29" t="s">
        <v>556</v>
      </c>
      <c r="B15" s="29" t="s">
        <v>557</v>
      </c>
      <c r="C15" s="29" t="s">
        <v>558</v>
      </c>
      <c r="D15" s="28" t="n">
        <v>-450000</v>
      </c>
      <c r="E15" s="18"/>
      <c r="F15" s="21" t="s">
        <v>559</v>
      </c>
    </row>
    <row r="16" customFormat="false" ht="25.5" hidden="false" customHeight="true" outlineLevel="0" collapsed="false">
      <c r="A16" s="29" t="s">
        <v>560</v>
      </c>
      <c r="B16" s="29" t="s">
        <v>561</v>
      </c>
      <c r="C16" s="29" t="s">
        <v>558</v>
      </c>
      <c r="D16" s="28" t="n">
        <v>-142000</v>
      </c>
      <c r="E16" s="18"/>
      <c r="F16" s="21" t="s">
        <v>562</v>
      </c>
    </row>
    <row r="17" customFormat="false" ht="25.5" hidden="false" customHeight="true" outlineLevel="0" collapsed="false">
      <c r="A17" s="29" t="s">
        <v>560</v>
      </c>
      <c r="B17" s="29" t="s">
        <v>563</v>
      </c>
      <c r="C17" s="29" t="s">
        <v>558</v>
      </c>
      <c r="D17" s="28" t="n">
        <v>-88000</v>
      </c>
      <c r="E17" s="18"/>
      <c r="F17" s="21" t="s">
        <v>562</v>
      </c>
    </row>
    <row r="18" customFormat="false" ht="25.5" hidden="false" customHeight="true" outlineLevel="0" collapsed="false">
      <c r="A18" s="29" t="s">
        <v>560</v>
      </c>
      <c r="B18" s="29" t="s">
        <v>564</v>
      </c>
      <c r="C18" s="29" t="s">
        <v>558</v>
      </c>
      <c r="D18" s="28" t="n">
        <v>-215000</v>
      </c>
      <c r="E18" s="18"/>
      <c r="F18" s="21" t="s">
        <v>562</v>
      </c>
    </row>
    <row r="19" customFormat="false" ht="25.5" hidden="false" customHeight="true" outlineLevel="0" collapsed="false">
      <c r="A19" s="29" t="s">
        <v>565</v>
      </c>
      <c r="B19" s="29" t="s">
        <v>566</v>
      </c>
      <c r="C19" s="29" t="s">
        <v>567</v>
      </c>
      <c r="D19" s="28" t="n">
        <v>-62500</v>
      </c>
      <c r="E19" s="18"/>
      <c r="F19" s="21" t="s">
        <v>568</v>
      </c>
    </row>
    <row r="20" customFormat="false" ht="25.5" hidden="false" customHeight="true" outlineLevel="0" collapsed="false">
      <c r="A20" s="29" t="s">
        <v>565</v>
      </c>
      <c r="B20" s="29" t="s">
        <v>569</v>
      </c>
      <c r="C20" s="29" t="s">
        <v>567</v>
      </c>
      <c r="D20" s="28" t="n">
        <v>-250000</v>
      </c>
      <c r="E20" s="18"/>
      <c r="F20" s="21" t="s">
        <v>570</v>
      </c>
    </row>
    <row r="21" customFormat="false" ht="25.5" hidden="false" customHeight="true" outlineLevel="0" collapsed="false">
      <c r="A21" s="29" t="s">
        <v>565</v>
      </c>
      <c r="B21" s="29" t="s">
        <v>571</v>
      </c>
      <c r="C21" s="29" t="s">
        <v>572</v>
      </c>
      <c r="D21" s="28" t="n">
        <v>285000</v>
      </c>
      <c r="E21" s="18"/>
      <c r="F21" s="21" t="s">
        <v>573</v>
      </c>
    </row>
    <row r="22" customFormat="false" ht="25.5" hidden="false" customHeight="true" outlineLevel="0" collapsed="false">
      <c r="A22" s="29" t="s">
        <v>574</v>
      </c>
      <c r="B22" s="29" t="s">
        <v>575</v>
      </c>
      <c r="C22" s="29" t="s">
        <v>576</v>
      </c>
      <c r="D22" s="28" t="n">
        <v>875000</v>
      </c>
      <c r="E22" s="18"/>
      <c r="F22" s="21" t="s">
        <v>577</v>
      </c>
    </row>
    <row r="23" customFormat="false" ht="25.5" hidden="false" customHeight="true" outlineLevel="0" collapsed="false">
      <c r="A23" s="29" t="s">
        <v>574</v>
      </c>
      <c r="B23" s="29" t="s">
        <v>578</v>
      </c>
      <c r="C23" s="29" t="s">
        <v>576</v>
      </c>
      <c r="D23" s="28" t="n">
        <v>320000</v>
      </c>
      <c r="E23" s="18"/>
      <c r="F23" s="21" t="s">
        <v>579</v>
      </c>
    </row>
    <row r="24" customFormat="false" ht="25.5" hidden="false" customHeight="true" outlineLevel="0" collapsed="false">
      <c r="A24" s="29" t="s">
        <v>580</v>
      </c>
      <c r="B24" s="29" t="s">
        <v>581</v>
      </c>
      <c r="C24" s="29" t="s">
        <v>582</v>
      </c>
      <c r="D24" s="28" t="n">
        <v>-96000</v>
      </c>
      <c r="E24" s="54" t="s">
        <v>583</v>
      </c>
      <c r="F24" s="21" t="s">
        <v>584</v>
      </c>
    </row>
    <row r="25" customFormat="false" ht="25.5" hidden="false" customHeight="true" outlineLevel="0" collapsed="false">
      <c r="A25" s="29" t="s">
        <v>585</v>
      </c>
      <c r="B25" s="29" t="s">
        <v>586</v>
      </c>
      <c r="C25" s="29" t="s">
        <v>526</v>
      </c>
      <c r="D25" s="28" t="n">
        <v>127000</v>
      </c>
      <c r="E25" s="18"/>
      <c r="F25" s="21" t="s">
        <v>587</v>
      </c>
    </row>
    <row r="26" customFormat="false" ht="25.5" hidden="false" customHeight="true" outlineLevel="0" collapsed="false">
      <c r="A26" s="29" t="s">
        <v>588</v>
      </c>
      <c r="B26" s="29" t="s">
        <v>589</v>
      </c>
      <c r="C26" s="29" t="s">
        <v>590</v>
      </c>
      <c r="D26" s="28" t="n">
        <v>25000000</v>
      </c>
      <c r="E26" s="18"/>
      <c r="F26" s="21" t="s">
        <v>591</v>
      </c>
    </row>
    <row r="27" customFormat="false" ht="25.5" hidden="false" customHeight="true" outlineLevel="0" collapsed="false">
      <c r="A27" s="29" t="s">
        <v>588</v>
      </c>
      <c r="B27" s="29" t="s">
        <v>592</v>
      </c>
      <c r="C27" s="29" t="s">
        <v>593</v>
      </c>
      <c r="D27" s="28" t="n">
        <v>-15000000</v>
      </c>
      <c r="E27" s="18"/>
      <c r="F27" s="21" t="s">
        <v>594</v>
      </c>
    </row>
    <row r="28" customFormat="false" ht="25.5" hidden="false" customHeight="true" outlineLevel="0" collapsed="false">
      <c r="A28" s="29" t="s">
        <v>471</v>
      </c>
      <c r="B28" s="29" t="s">
        <v>595</v>
      </c>
      <c r="C28" s="29" t="s">
        <v>596</v>
      </c>
      <c r="D28" s="28" t="n">
        <v>88000</v>
      </c>
      <c r="E28" s="18"/>
      <c r="F28" s="21" t="s">
        <v>597</v>
      </c>
    </row>
    <row r="29" customFormat="false" ht="25.5" hidden="false" customHeight="true" outlineLevel="0" collapsed="false">
      <c r="A29" s="29" t="s">
        <v>474</v>
      </c>
      <c r="B29" s="29" t="s">
        <v>598</v>
      </c>
      <c r="C29" s="29" t="s">
        <v>599</v>
      </c>
      <c r="D29" s="28" t="n">
        <v>-1350000</v>
      </c>
      <c r="E29" s="18"/>
      <c r="F29" s="21" t="s">
        <v>600</v>
      </c>
    </row>
    <row r="30" customFormat="false" ht="25.5" hidden="false" customHeight="true" outlineLevel="0" collapsed="false">
      <c r="A30" s="29" t="s">
        <v>601</v>
      </c>
      <c r="B30" s="29" t="s">
        <v>602</v>
      </c>
      <c r="C30" s="29" t="s">
        <v>551</v>
      </c>
      <c r="D30" s="28" t="n">
        <v>-8250000</v>
      </c>
      <c r="E30" s="18"/>
      <c r="F30" s="21" t="s">
        <v>603</v>
      </c>
    </row>
    <row r="31" customFormat="false" ht="25.5" hidden="false" customHeight="true" outlineLevel="0" collapsed="false">
      <c r="A31" s="29" t="s">
        <v>601</v>
      </c>
      <c r="B31" s="29" t="s">
        <v>604</v>
      </c>
      <c r="C31" s="29" t="s">
        <v>605</v>
      </c>
      <c r="D31" s="28" t="n">
        <v>0</v>
      </c>
      <c r="E31" s="18"/>
      <c r="F31" s="21" t="s">
        <v>606</v>
      </c>
    </row>
    <row r="32" customFormat="false" ht="25.5" hidden="false" customHeight="true" outlineLevel="0" collapsed="false">
      <c r="A32" s="29" t="s">
        <v>607</v>
      </c>
      <c r="B32" s="29" t="s">
        <v>608</v>
      </c>
      <c r="C32" s="29" t="s">
        <v>609</v>
      </c>
      <c r="D32" s="28" t="n">
        <v>14437500</v>
      </c>
      <c r="E32" s="54" t="s">
        <v>610</v>
      </c>
      <c r="F32" s="21" t="s">
        <v>611</v>
      </c>
    </row>
    <row r="33" customFormat="false" ht="25.5" hidden="false" customHeight="true" outlineLevel="0" collapsed="false">
      <c r="A33" s="29" t="s">
        <v>474</v>
      </c>
      <c r="B33" s="29" t="s">
        <v>612</v>
      </c>
      <c r="C33" s="29" t="s">
        <v>613</v>
      </c>
      <c r="D33" s="28" t="n">
        <v>45000</v>
      </c>
      <c r="E33" s="18"/>
      <c r="F33" s="21"/>
    </row>
    <row r="34" customFormat="false" ht="25.5" hidden="false" customHeight="true" outlineLevel="0" collapsed="false">
      <c r="A34" s="29" t="s">
        <v>614</v>
      </c>
      <c r="B34" s="29" t="s">
        <v>615</v>
      </c>
      <c r="C34" s="29" t="s">
        <v>616</v>
      </c>
      <c r="D34" s="28" t="n">
        <v>-950000</v>
      </c>
      <c r="E34" s="18"/>
      <c r="F34" s="21" t="s">
        <v>617</v>
      </c>
    </row>
    <row r="35" customFormat="false" ht="25.5" hidden="false" customHeight="true" outlineLevel="0" collapsed="false">
      <c r="A35" s="29" t="s">
        <v>618</v>
      </c>
      <c r="B35" s="29" t="s">
        <v>619</v>
      </c>
      <c r="C35" s="29" t="s">
        <v>616</v>
      </c>
      <c r="D35" s="28" t="n">
        <v>-950000</v>
      </c>
      <c r="E35" s="18"/>
      <c r="F35" s="21" t="s">
        <v>617</v>
      </c>
    </row>
    <row r="36" customFormat="false" ht="25.5" hidden="false" customHeight="true" outlineLevel="0" collapsed="false">
      <c r="A36" s="29" t="s">
        <v>467</v>
      </c>
      <c r="B36" s="29" t="s">
        <v>620</v>
      </c>
      <c r="C36" s="29" t="s">
        <v>621</v>
      </c>
      <c r="D36" s="28" t="n">
        <v>-185000</v>
      </c>
      <c r="E36" s="18"/>
      <c r="F36" s="21"/>
    </row>
    <row r="37" customFormat="false" ht="25.5" hidden="false" customHeight="true" outlineLevel="0" collapsed="false">
      <c r="A37" s="29" t="s">
        <v>601</v>
      </c>
      <c r="B37" s="29" t="s">
        <v>622</v>
      </c>
      <c r="C37" s="29" t="s">
        <v>621</v>
      </c>
      <c r="D37" s="28" t="n">
        <v>-75000</v>
      </c>
      <c r="E37" s="18"/>
      <c r="F37" s="21"/>
    </row>
    <row r="38" customFormat="false" ht="25.5" hidden="false" customHeight="true" outlineLevel="0" collapsed="false">
      <c r="A38" s="29" t="s">
        <v>623</v>
      </c>
      <c r="B38" s="29" t="s">
        <v>624</v>
      </c>
      <c r="C38" s="29" t="s">
        <v>625</v>
      </c>
      <c r="D38" s="28" t="n">
        <v>-3200000</v>
      </c>
      <c r="E38" s="18"/>
      <c r="F38" s="21" t="s">
        <v>626</v>
      </c>
    </row>
    <row r="39" customFormat="false" ht="15" hidden="false" customHeight="false" outlineLevel="0" collapsed="false">
      <c r="A39" s="18" t="s">
        <v>627</v>
      </c>
      <c r="B39" s="16"/>
      <c r="C39" s="16"/>
      <c r="D39" s="35" t="n">
        <f aca="false">SUM(D5:D38)-1250000</f>
        <v>6721018</v>
      </c>
      <c r="E39" s="16"/>
      <c r="F39" s="1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46"/>
    <col collapsed="false" customWidth="true" hidden="false" outlineLevel="0" max="6" min="5" style="0" width="6"/>
  </cols>
  <sheetData>
    <row r="1" customFormat="false" ht="21.75" hidden="false" customHeight="true" outlineLevel="0" collapsed="false">
      <c r="A1" s="1" t="s">
        <v>628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629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630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14" t="s">
        <v>631</v>
      </c>
      <c r="B5" s="28" t="n">
        <v>385000000</v>
      </c>
      <c r="C5" s="16"/>
      <c r="D5" s="16"/>
    </row>
    <row r="6" customFormat="false" ht="15" hidden="false" customHeight="false" outlineLevel="0" collapsed="false">
      <c r="A6" s="14" t="s">
        <v>632</v>
      </c>
      <c r="B6" s="38" t="n">
        <v>0.125</v>
      </c>
      <c r="C6" s="16"/>
      <c r="D6" s="16"/>
    </row>
    <row r="7" customFormat="false" ht="15" hidden="false" customHeight="false" outlineLevel="0" collapsed="false">
      <c r="A7" s="14" t="s">
        <v>633</v>
      </c>
      <c r="B7" s="17" t="n">
        <f aca="false">B5*B6</f>
        <v>48125000</v>
      </c>
      <c r="C7" s="16"/>
      <c r="D7" s="16"/>
    </row>
    <row r="9" customFormat="false" ht="15" hidden="false" customHeight="false" outlineLevel="0" collapsed="false">
      <c r="A9" s="5" t="s">
        <v>634</v>
      </c>
      <c r="B9" s="5"/>
      <c r="C9" s="5"/>
      <c r="D9" s="5"/>
      <c r="E9" s="5"/>
      <c r="F9" s="5"/>
    </row>
    <row r="10" customFormat="false" ht="68.65" hidden="false" customHeight="false" outlineLevel="0" collapsed="false">
      <c r="A10" s="6" t="s">
        <v>635</v>
      </c>
      <c r="B10" s="6" t="s">
        <v>636</v>
      </c>
      <c r="C10" s="6" t="s">
        <v>637</v>
      </c>
      <c r="D10" s="6" t="s">
        <v>159</v>
      </c>
    </row>
    <row r="11" customFormat="false" ht="27.75" hidden="false" customHeight="true" outlineLevel="0" collapsed="false">
      <c r="A11" s="29" t="s">
        <v>638</v>
      </c>
      <c r="B11" s="28" t="n">
        <v>45000000</v>
      </c>
      <c r="C11" s="28" t="n">
        <v>45000000</v>
      </c>
      <c r="D11" s="21" t="s">
        <v>639</v>
      </c>
    </row>
    <row r="12" customFormat="false" ht="27.75" hidden="false" customHeight="true" outlineLevel="0" collapsed="false">
      <c r="A12" s="29" t="s">
        <v>640</v>
      </c>
      <c r="B12" s="28" t="n">
        <v>25000000</v>
      </c>
      <c r="C12" s="28" t="n">
        <v>10562500</v>
      </c>
      <c r="D12" s="21" t="s">
        <v>641</v>
      </c>
    </row>
    <row r="13" customFormat="false" ht="27.75" hidden="false" customHeight="true" outlineLevel="0" collapsed="false">
      <c r="A13" s="29" t="s">
        <v>642</v>
      </c>
      <c r="B13" s="28" t="n">
        <v>9750000</v>
      </c>
      <c r="C13" s="28" t="n">
        <v>9750000</v>
      </c>
      <c r="D13" s="21" t="s">
        <v>643</v>
      </c>
    </row>
    <row r="14" customFormat="false" ht="27.75" hidden="false" customHeight="true" outlineLevel="0" collapsed="false">
      <c r="A14" s="29" t="s">
        <v>644</v>
      </c>
      <c r="B14" s="28" t="n">
        <v>-25000000</v>
      </c>
      <c r="C14" s="28" t="n">
        <v>-25000000</v>
      </c>
      <c r="D14" s="21" t="s">
        <v>645</v>
      </c>
    </row>
    <row r="15" customFormat="false" ht="27.75" hidden="false" customHeight="true" outlineLevel="0" collapsed="false">
      <c r="A15" s="29" t="s">
        <v>646</v>
      </c>
      <c r="B15" s="28" t="n">
        <v>375000</v>
      </c>
      <c r="C15" s="28" t="n">
        <v>375000</v>
      </c>
      <c r="D15" s="21" t="s">
        <v>647</v>
      </c>
    </row>
    <row r="16" customFormat="false" ht="27.75" hidden="false" customHeight="true" outlineLevel="0" collapsed="false">
      <c r="A16" s="29" t="s">
        <v>648</v>
      </c>
      <c r="B16" s="28" t="n">
        <v>600000</v>
      </c>
      <c r="C16" s="28" t="n">
        <v>600000</v>
      </c>
      <c r="D16" s="21" t="s">
        <v>649</v>
      </c>
    </row>
    <row r="18" customFormat="false" ht="15" hidden="false" customHeight="false" outlineLevel="0" collapsed="false">
      <c r="A18" s="5" t="s">
        <v>650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14" t="s">
        <v>651</v>
      </c>
      <c r="B19" s="17" t="n">
        <f aca="false">SUM(B11:B16)</f>
        <v>55725000</v>
      </c>
      <c r="C19" s="55" t="b">
        <f aca="false">B19&lt;=$B$7</f>
        <v>0</v>
      </c>
      <c r="D19" s="18" t="str">
        <f aca="false">IF(B19&lt;=$B$7,"UNDER LIMIT","OVER LIMIT")</f>
        <v>OVER LIMIT</v>
      </c>
    </row>
    <row r="20" customFormat="false" ht="15" hidden="false" customHeight="false" outlineLevel="0" collapsed="false">
      <c r="A20" s="14" t="s">
        <v>652</v>
      </c>
      <c r="B20" s="17" t="n">
        <f aca="false">SUM(C11:C16)</f>
        <v>41287500</v>
      </c>
      <c r="C20" s="55" t="b">
        <f aca="false">B20&lt;=$B$7</f>
        <v>1</v>
      </c>
      <c r="D20" s="18" t="str">
        <f aca="false">IF(B20&lt;=$B$7,"UNDER LIMIT","OVER LIMIT")</f>
        <v>UNDER LIMIT</v>
      </c>
    </row>
    <row r="21" customFormat="false" ht="15" hidden="false" customHeight="false" outlineLevel="0" collapsed="false">
      <c r="A21" s="14" t="s">
        <v>653</v>
      </c>
      <c r="B21" s="17" t="n">
        <f aca="false">SUM(B11:B16)-B14</f>
        <v>80725000</v>
      </c>
      <c r="C21" s="55" t="b">
        <f aca="false">B21&lt;=$B$7</f>
        <v>0</v>
      </c>
      <c r="D21" s="18" t="str">
        <f aca="false">IF(B21&lt;=$B$7,"UNDER LIMIT","OVER LIMIT")</f>
        <v>OVER LIMIT</v>
      </c>
    </row>
    <row r="23" customFormat="false" ht="94.5" hidden="false" customHeight="true" outlineLevel="0" collapsed="false">
      <c r="A23" s="56" t="s">
        <v>654</v>
      </c>
      <c r="B23" s="56"/>
      <c r="C23" s="56"/>
      <c r="D23" s="56"/>
      <c r="E23" s="56"/>
      <c r="F23" s="56"/>
    </row>
    <row r="24" customFormat="false" ht="15" hidden="false" customHeight="false" outlineLevel="0" collapsed="false">
      <c r="A24" s="56"/>
      <c r="B24" s="56"/>
      <c r="C24" s="56"/>
      <c r="D24" s="56"/>
      <c r="E24" s="56"/>
      <c r="F24" s="56"/>
    </row>
    <row r="25" customFormat="false" ht="15" hidden="false" customHeight="false" outlineLevel="0" collapsed="false">
      <c r="A25" s="56"/>
      <c r="B25" s="56"/>
      <c r="C25" s="56"/>
      <c r="D25" s="56"/>
      <c r="E25" s="56"/>
      <c r="F25" s="56"/>
    </row>
    <row r="26" customFormat="false" ht="15" hidden="false" customHeight="false" outlineLevel="0" collapsed="false">
      <c r="A26" s="56"/>
      <c r="B26" s="56"/>
      <c r="C26" s="56"/>
      <c r="D26" s="56"/>
      <c r="E26" s="56"/>
      <c r="F26" s="56"/>
    </row>
  </sheetData>
  <mergeCells count="6">
    <mergeCell ref="A1:F1"/>
    <mergeCell ref="A2:F2"/>
    <mergeCell ref="A4:F4"/>
    <mergeCell ref="A9:F9"/>
    <mergeCell ref="A18:F18"/>
    <mergeCell ref="A23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6" min="5" style="0" width="6"/>
  </cols>
  <sheetData>
    <row r="1" customFormat="false" ht="21.75" hidden="false" customHeight="true" outlineLevel="0" collapsed="false">
      <c r="A1" s="1" t="s">
        <v>655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656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657</v>
      </c>
      <c r="B4" s="5"/>
      <c r="C4" s="5"/>
      <c r="D4" s="5"/>
    </row>
    <row r="5" customFormat="false" ht="15" hidden="false" customHeight="false" outlineLevel="0" collapsed="false">
      <c r="A5" s="6" t="s">
        <v>658</v>
      </c>
      <c r="B5" s="6" t="s">
        <v>459</v>
      </c>
      <c r="C5" s="6" t="s">
        <v>521</v>
      </c>
      <c r="D5" s="6" t="s">
        <v>659</v>
      </c>
    </row>
    <row r="6" customFormat="false" ht="31.5" hidden="false" customHeight="true" outlineLevel="0" collapsed="false">
      <c r="A6" s="29" t="s">
        <v>660</v>
      </c>
      <c r="B6" s="29" t="s">
        <v>661</v>
      </c>
      <c r="C6" s="28" t="n">
        <v>60000000</v>
      </c>
      <c r="D6" s="21" t="s">
        <v>662</v>
      </c>
    </row>
    <row r="7" customFormat="false" ht="31.5" hidden="false" customHeight="true" outlineLevel="0" collapsed="false">
      <c r="A7" s="29" t="s">
        <v>663</v>
      </c>
      <c r="B7" s="29" t="s">
        <v>664</v>
      </c>
      <c r="C7" s="28" t="n">
        <v>90000000</v>
      </c>
      <c r="D7" s="21" t="s">
        <v>665</v>
      </c>
    </row>
    <row r="8" customFormat="false" ht="31.5" hidden="false" customHeight="true" outlineLevel="0" collapsed="false">
      <c r="A8" s="29" t="s">
        <v>666</v>
      </c>
      <c r="B8" s="29" t="s">
        <v>667</v>
      </c>
      <c r="C8" s="28" t="n">
        <v>75000000</v>
      </c>
      <c r="D8" s="21" t="s">
        <v>668</v>
      </c>
    </row>
    <row r="9" customFormat="false" ht="31.5" hidden="false" customHeight="true" outlineLevel="0" collapsed="false">
      <c r="A9" s="29" t="s">
        <v>669</v>
      </c>
      <c r="B9" s="29" t="s">
        <v>670</v>
      </c>
      <c r="C9" s="28" t="n">
        <v>50000000</v>
      </c>
      <c r="D9" s="21" t="s">
        <v>671</v>
      </c>
    </row>
    <row r="10" customFormat="false" ht="31.5" hidden="false" customHeight="true" outlineLevel="0" collapsed="false">
      <c r="A10" s="29" t="s">
        <v>672</v>
      </c>
      <c r="B10" s="29" t="s">
        <v>673</v>
      </c>
      <c r="C10" s="28" t="n">
        <v>40000000</v>
      </c>
      <c r="D10" s="21" t="s">
        <v>674</v>
      </c>
    </row>
    <row r="11" customFormat="false" ht="31.5" hidden="false" customHeight="true" outlineLevel="0" collapsed="false">
      <c r="A11" s="29" t="s">
        <v>675</v>
      </c>
      <c r="B11" s="29" t="s">
        <v>676</v>
      </c>
      <c r="C11" s="28" t="n">
        <v>25000000</v>
      </c>
      <c r="D11" s="21" t="s">
        <v>677</v>
      </c>
    </row>
    <row r="12" customFormat="false" ht="31.5" hidden="false" customHeight="true" outlineLevel="0" collapsed="false">
      <c r="A12" s="29" t="s">
        <v>678</v>
      </c>
      <c r="B12" s="29" t="s">
        <v>679</v>
      </c>
      <c r="C12" s="28" t="n">
        <v>60000000</v>
      </c>
      <c r="D12" s="21" t="s">
        <v>680</v>
      </c>
    </row>
    <row r="13" customFormat="false" ht="31.5" hidden="false" customHeight="true" outlineLevel="0" collapsed="false">
      <c r="A13" s="29" t="s">
        <v>681</v>
      </c>
      <c r="B13" s="29" t="s">
        <v>618</v>
      </c>
      <c r="C13" s="28" t="n">
        <v>25000000</v>
      </c>
      <c r="D13" s="21" t="s">
        <v>682</v>
      </c>
    </row>
    <row r="14" customFormat="false" ht="15" hidden="false" customHeight="false" outlineLevel="0" collapsed="false">
      <c r="A14" s="29" t="s">
        <v>683</v>
      </c>
      <c r="B14" s="29" t="s">
        <v>623</v>
      </c>
      <c r="C14" s="28" t="n">
        <v>-3200000</v>
      </c>
      <c r="D14" s="42" t="s">
        <v>684</v>
      </c>
    </row>
    <row r="15" customFormat="false" ht="15" hidden="false" customHeight="false" outlineLevel="0" collapsed="false">
      <c r="A15" s="18" t="s">
        <v>685</v>
      </c>
      <c r="B15" s="18"/>
      <c r="C15" s="35" t="n">
        <f aca="false">SUM(C6:C14)</f>
        <v>421800000</v>
      </c>
      <c r="D15" s="16"/>
    </row>
    <row r="17" customFormat="false" ht="15" hidden="false" customHeight="false" outlineLevel="0" collapsed="false">
      <c r="A17" s="5" t="s">
        <v>686</v>
      </c>
      <c r="B17" s="5"/>
      <c r="C17" s="5"/>
      <c r="D17" s="5"/>
    </row>
    <row r="18" customFormat="false" ht="15" hidden="false" customHeight="false" outlineLevel="0" collapsed="false">
      <c r="A18" s="6" t="s">
        <v>658</v>
      </c>
      <c r="B18" s="6" t="s">
        <v>459</v>
      </c>
      <c r="C18" s="6" t="s">
        <v>521</v>
      </c>
      <c r="D18" s="6" t="s">
        <v>687</v>
      </c>
    </row>
    <row r="19" customFormat="false" ht="27.75" hidden="false" customHeight="true" outlineLevel="0" collapsed="false">
      <c r="A19" s="29" t="s">
        <v>688</v>
      </c>
      <c r="B19" s="29" t="s">
        <v>689</v>
      </c>
      <c r="C19" s="28" t="n">
        <v>5000000</v>
      </c>
      <c r="D19" s="21" t="s">
        <v>690</v>
      </c>
    </row>
    <row r="20" customFormat="false" ht="27.75" hidden="false" customHeight="true" outlineLevel="0" collapsed="false">
      <c r="A20" s="29" t="s">
        <v>691</v>
      </c>
      <c r="B20" s="29" t="s">
        <v>692</v>
      </c>
      <c r="C20" s="28" t="n">
        <v>8500000</v>
      </c>
      <c r="D20" s="21" t="s">
        <v>693</v>
      </c>
    </row>
    <row r="21" customFormat="false" ht="27.75" hidden="false" customHeight="true" outlineLevel="0" collapsed="false">
      <c r="A21" s="29" t="s">
        <v>694</v>
      </c>
      <c r="B21" s="29" t="s">
        <v>695</v>
      </c>
      <c r="C21" s="28" t="n">
        <v>10200000</v>
      </c>
      <c r="D21" s="21" t="s">
        <v>696</v>
      </c>
    </row>
    <row r="22" customFormat="false" ht="27.75" hidden="false" customHeight="true" outlineLevel="0" collapsed="false">
      <c r="A22" s="29" t="s">
        <v>697</v>
      </c>
      <c r="B22" s="29" t="s">
        <v>698</v>
      </c>
      <c r="C22" s="28" t="n">
        <v>11750000</v>
      </c>
      <c r="D22" s="21" t="s">
        <v>699</v>
      </c>
    </row>
    <row r="23" customFormat="false" ht="27.75" hidden="false" customHeight="true" outlineLevel="0" collapsed="false">
      <c r="A23" s="29" t="s">
        <v>700</v>
      </c>
      <c r="B23" s="29" t="s">
        <v>588</v>
      </c>
      <c r="C23" s="28" t="n">
        <v>15000000</v>
      </c>
      <c r="D23" s="21" t="s">
        <v>701</v>
      </c>
    </row>
    <row r="24" customFormat="false" ht="15" hidden="false" customHeight="false" outlineLevel="0" collapsed="false">
      <c r="A24" s="18" t="s">
        <v>702</v>
      </c>
      <c r="B24" s="18"/>
      <c r="C24" s="35" t="n">
        <f aca="false">SUM(C19:C23)</f>
        <v>50450000</v>
      </c>
      <c r="D24" s="16"/>
    </row>
    <row r="26" customFormat="false" ht="15" hidden="false" customHeight="false" outlineLevel="0" collapsed="false">
      <c r="A26" s="11" t="s">
        <v>703</v>
      </c>
      <c r="C26" s="57" t="s">
        <v>704</v>
      </c>
      <c r="D26" s="57"/>
    </row>
  </sheetData>
  <mergeCells count="7">
    <mergeCell ref="A1:F1"/>
    <mergeCell ref="A2:F2"/>
    <mergeCell ref="A4:D4"/>
    <mergeCell ref="A15:B15"/>
    <mergeCell ref="A17:D17"/>
    <mergeCell ref="A24:B24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2026-08-14T03:04:02Z</dcterms:created>
  <dc:creator>openpyxl</dc:creator>
  <dc:description/>
  <dc:language>en-US</dc:language>
  <cp:lastModifiedBy/>
  <dcterms:modified xsi:type="dcterms:W3CDTF">2026-08-14T03:04:02Z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